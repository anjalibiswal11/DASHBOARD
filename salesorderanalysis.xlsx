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SUS\OneDrive\Documents\"/>
    </mc:Choice>
  </mc:AlternateContent>
  <xr:revisionPtr revIDLastSave="0" documentId="8_{86CD781E-6C61-4C3F-B0C5-8D3FDD0FC6BA}" xr6:coauthVersionLast="47" xr6:coauthVersionMax="47" xr10:uidLastSave="{00000000-0000-0000-0000-000000000000}"/>
  <bookViews>
    <workbookView xWindow="-98" yWindow="-98" windowWidth="21795" windowHeight="12975" activeTab="3" xr2:uid="{0DD5F931-480E-4D99-B3DC-2E51D7760D45}"/>
  </bookViews>
  <sheets>
    <sheet name="salesorderanalysis" sheetId="1" r:id="rId1"/>
    <sheet name="kpi" sheetId="2" r:id="rId2"/>
    <sheet name="Chart" sheetId="3" r:id="rId3"/>
    <sheet name="Dashboard" sheetId="4" r:id="rId4"/>
  </sheets>
  <definedNames>
    <definedName name="_xlchart.v5.0" hidden="1">Chart!$E$83</definedName>
    <definedName name="_xlchart.v5.1" hidden="1">Chart!$E$84:$E$95</definedName>
    <definedName name="_xlchart.v5.2" hidden="1">Chart!$F$83</definedName>
    <definedName name="_xlchart.v5.3" hidden="1">Chart!$F$84:$F$95</definedName>
    <definedName name="_xlchart.v5.4" hidden="1">Chart!$E$83</definedName>
    <definedName name="_xlchart.v5.5" hidden="1">Chart!$E$84:$E$95</definedName>
    <definedName name="_xlchart.v5.6" hidden="1">Chart!$F$83</definedName>
    <definedName name="_xlchart.v5.7" hidden="1">Chart!$F$84:$F$95</definedName>
    <definedName name="ExternalData_1" localSheetId="0" hidden="1">salesorderanalysis!$A$1:$J$1301</definedName>
    <definedName name="Slicer_Item">#N/A</definedName>
    <definedName name="Slicer_Sales_Rep">#N/A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7A38C8-DF30-4B7A-A3F1-BD1E0F95908C}" keepAlive="1" name="Query - raw data one month sales Report" description="Connection to the 'raw data one month sales Report' query in the workbook." type="5" refreshedVersion="8" background="1" saveData="1">
    <dbPr connection="Provider=Microsoft.Mashup.OleDb.1;Data Source=$Workbook$;Location=&quot;raw data one month sales Report&quot;;Extended Properties=&quot;&quot;" command="SELECT * FROM [raw data one month sales Report]"/>
  </connection>
</connections>
</file>

<file path=xl/sharedStrings.xml><?xml version="1.0" encoding="utf-8"?>
<sst xmlns="http://schemas.openxmlformats.org/spreadsheetml/2006/main" count="6608" uniqueCount="1378">
  <si>
    <t>Order Id</t>
  </si>
  <si>
    <t>Date</t>
  </si>
  <si>
    <t>Item</t>
  </si>
  <si>
    <t>Sales Rep</t>
  </si>
  <si>
    <t>Quantity</t>
  </si>
  <si>
    <t>Price</t>
  </si>
  <si>
    <t>Total sales</t>
  </si>
  <si>
    <t>Commission</t>
  </si>
  <si>
    <t>Total Commission</t>
  </si>
  <si>
    <t>State</t>
  </si>
  <si>
    <t>Order id = 1</t>
  </si>
  <si>
    <t>01-07-2018</t>
  </si>
  <si>
    <t>Printer</t>
  </si>
  <si>
    <t>John</t>
  </si>
  <si>
    <t>Meghalaya</t>
  </si>
  <si>
    <t>Order id = 2</t>
  </si>
  <si>
    <t>White Board</t>
  </si>
  <si>
    <t>Mark</t>
  </si>
  <si>
    <t>Uttar Pradesh</t>
  </si>
  <si>
    <t>Order id = 3</t>
  </si>
  <si>
    <t>Office Chair</t>
  </si>
  <si>
    <t>Maharashtra</t>
  </si>
  <si>
    <t>Order id = 4</t>
  </si>
  <si>
    <t>Delhi</t>
  </si>
  <si>
    <t>Order id = 5</t>
  </si>
  <si>
    <t>Laura</t>
  </si>
  <si>
    <t>West Bengal</t>
  </si>
  <si>
    <t>Order id = 6</t>
  </si>
  <si>
    <t>Stacey</t>
  </si>
  <si>
    <t>Bihar</t>
  </si>
  <si>
    <t>Order id = 7</t>
  </si>
  <si>
    <t>Diary</t>
  </si>
  <si>
    <t>Bob</t>
  </si>
  <si>
    <t>Goa</t>
  </si>
  <si>
    <t>Order id = 8</t>
  </si>
  <si>
    <t>Projector</t>
  </si>
  <si>
    <t>Karnataka</t>
  </si>
  <si>
    <t>Order id = 9</t>
  </si>
  <si>
    <t>Gujarat</t>
  </si>
  <si>
    <t>Order id = 10</t>
  </si>
  <si>
    <t>Jharkhand</t>
  </si>
  <si>
    <t>Order id = 11</t>
  </si>
  <si>
    <t>Haryana</t>
  </si>
  <si>
    <t>Order id = 12</t>
  </si>
  <si>
    <t>02-07-2018</t>
  </si>
  <si>
    <t>Kerala</t>
  </si>
  <si>
    <t>Order id = 13</t>
  </si>
  <si>
    <t>Order id = 14</t>
  </si>
  <si>
    <t>Order id = 15</t>
  </si>
  <si>
    <t>Order id = 16</t>
  </si>
  <si>
    <t>Order id = 17</t>
  </si>
  <si>
    <t>Order id = 18</t>
  </si>
  <si>
    <t>Order id = 19</t>
  </si>
  <si>
    <t>03-07-2018</t>
  </si>
  <si>
    <t>Order id = 20</t>
  </si>
  <si>
    <t>Order id = 21</t>
  </si>
  <si>
    <t>Order id = 22</t>
  </si>
  <si>
    <t>Order id = 23</t>
  </si>
  <si>
    <t>Order id = 24</t>
  </si>
  <si>
    <t>Order id = 25</t>
  </si>
  <si>
    <t>Order id = 26</t>
  </si>
  <si>
    <t>Order id = 27</t>
  </si>
  <si>
    <t>Order id = 28</t>
  </si>
  <si>
    <t>Order id = 29</t>
  </si>
  <si>
    <t>Order id = 30</t>
  </si>
  <si>
    <t>Order id = 31</t>
  </si>
  <si>
    <t>Order id = 32</t>
  </si>
  <si>
    <t>04-07-2018</t>
  </si>
  <si>
    <t>Order id = 33</t>
  </si>
  <si>
    <t>Order id = 34</t>
  </si>
  <si>
    <t>Order id = 35</t>
  </si>
  <si>
    <t>Order id = 36</t>
  </si>
  <si>
    <t>Order id = 37</t>
  </si>
  <si>
    <t>Order id = 38</t>
  </si>
  <si>
    <t>Order id = 39</t>
  </si>
  <si>
    <t>Order id = 40</t>
  </si>
  <si>
    <t>Order id = 41</t>
  </si>
  <si>
    <t>05-07-2018</t>
  </si>
  <si>
    <t>Order id = 42</t>
  </si>
  <si>
    <t>Order id = 43</t>
  </si>
  <si>
    <t>Order id = 44</t>
  </si>
  <si>
    <t>Order id = 45</t>
  </si>
  <si>
    <t>Order id = 46</t>
  </si>
  <si>
    <t>Order id = 47</t>
  </si>
  <si>
    <t>Order id = 48</t>
  </si>
  <si>
    <t>Order id = 49</t>
  </si>
  <si>
    <t>06-07-2018</t>
  </si>
  <si>
    <t>Order id = 50</t>
  </si>
  <si>
    <t>Order id = 51</t>
  </si>
  <si>
    <t>Order id = 52</t>
  </si>
  <si>
    <t>Order id = 53</t>
  </si>
  <si>
    <t>Order id = 54</t>
  </si>
  <si>
    <t>Order id = 55</t>
  </si>
  <si>
    <t>Order id = 56</t>
  </si>
  <si>
    <t>Order id = 57</t>
  </si>
  <si>
    <t>Order id = 58</t>
  </si>
  <si>
    <t>Order id = 59</t>
  </si>
  <si>
    <t>Order id = 60</t>
  </si>
  <si>
    <t>Order id = 61</t>
  </si>
  <si>
    <t>Order id = 62</t>
  </si>
  <si>
    <t>Order id = 63</t>
  </si>
  <si>
    <t>Order id = 64</t>
  </si>
  <si>
    <t>07-07-2018</t>
  </si>
  <si>
    <t>Order id = 65</t>
  </si>
  <si>
    <t>Order id = 66</t>
  </si>
  <si>
    <t>Order id = 67</t>
  </si>
  <si>
    <t>Order id = 68</t>
  </si>
  <si>
    <t>Order id = 69</t>
  </si>
  <si>
    <t>Order id = 70</t>
  </si>
  <si>
    <t>Order id = 71</t>
  </si>
  <si>
    <t>Order id = 72</t>
  </si>
  <si>
    <t>Order id = 73</t>
  </si>
  <si>
    <t>Order id = 74</t>
  </si>
  <si>
    <t>Order id = 75</t>
  </si>
  <si>
    <t>Order id = 76</t>
  </si>
  <si>
    <t>Order id = 77</t>
  </si>
  <si>
    <t>08-07-2018</t>
  </si>
  <si>
    <t>Order id = 78</t>
  </si>
  <si>
    <t>Order id = 79</t>
  </si>
  <si>
    <t>Order id = 80</t>
  </si>
  <si>
    <t>Order id = 81</t>
  </si>
  <si>
    <t>Order id = 82</t>
  </si>
  <si>
    <t>Order id = 83</t>
  </si>
  <si>
    <t>Order id = 84</t>
  </si>
  <si>
    <t>Order id = 85</t>
  </si>
  <si>
    <t>Order id = 86</t>
  </si>
  <si>
    <t>Order id = 87</t>
  </si>
  <si>
    <t>Order id = 88</t>
  </si>
  <si>
    <t>09-07-2018</t>
  </si>
  <si>
    <t>Order id = 89</t>
  </si>
  <si>
    <t>Order id = 90</t>
  </si>
  <si>
    <t>Order id = 91</t>
  </si>
  <si>
    <t>Order id = 92</t>
  </si>
  <si>
    <t>Order id = 93</t>
  </si>
  <si>
    <t>Order id = 94</t>
  </si>
  <si>
    <t>10-07-2018</t>
  </si>
  <si>
    <t>Order id = 95</t>
  </si>
  <si>
    <t>Order id = 96</t>
  </si>
  <si>
    <t>Order id = 97</t>
  </si>
  <si>
    <t>Order id = 98</t>
  </si>
  <si>
    <t>Order id = 99</t>
  </si>
  <si>
    <t>Order id = 100</t>
  </si>
  <si>
    <t>Order id = 101</t>
  </si>
  <si>
    <t>Order id = 102</t>
  </si>
  <si>
    <t>Order id = 103</t>
  </si>
  <si>
    <t>Order id = 104</t>
  </si>
  <si>
    <t>Order id = 105</t>
  </si>
  <si>
    <t>Order id = 106</t>
  </si>
  <si>
    <t>Order id = 107</t>
  </si>
  <si>
    <t>Order id = 108</t>
  </si>
  <si>
    <t>Order id = 109</t>
  </si>
  <si>
    <t>Order id = 110</t>
  </si>
  <si>
    <t>Order id = 111</t>
  </si>
  <si>
    <t>Order id = 112</t>
  </si>
  <si>
    <t>Order id = 113</t>
  </si>
  <si>
    <t>11-07-2018</t>
  </si>
  <si>
    <t>Order id = 114</t>
  </si>
  <si>
    <t>Order id = 115</t>
  </si>
  <si>
    <t>Order id = 116</t>
  </si>
  <si>
    <t>Order id = 117</t>
  </si>
  <si>
    <t>Order id = 118</t>
  </si>
  <si>
    <t>Order id = 119</t>
  </si>
  <si>
    <t>Order id = 120</t>
  </si>
  <si>
    <t>12-07-2018</t>
  </si>
  <si>
    <t>Order id = 121</t>
  </si>
  <si>
    <t>Order id = 122</t>
  </si>
  <si>
    <t>Order id = 123</t>
  </si>
  <si>
    <t>Order id = 124</t>
  </si>
  <si>
    <t>Order id = 125</t>
  </si>
  <si>
    <t>Order id = 126</t>
  </si>
  <si>
    <t>Order id = 127</t>
  </si>
  <si>
    <t>13-07-2018</t>
  </si>
  <si>
    <t>Order id = 128</t>
  </si>
  <si>
    <t>Order id = 129</t>
  </si>
  <si>
    <t>Order id = 130</t>
  </si>
  <si>
    <t>Order id = 131</t>
  </si>
  <si>
    <t>Order id = 132</t>
  </si>
  <si>
    <t>Order id = 133</t>
  </si>
  <si>
    <t>Order id = 134</t>
  </si>
  <si>
    <t>Order id = 135</t>
  </si>
  <si>
    <t>Order id = 136</t>
  </si>
  <si>
    <t>Order id = 137</t>
  </si>
  <si>
    <t>14-07-2018</t>
  </si>
  <si>
    <t>Order id = 138</t>
  </si>
  <si>
    <t>Order id = 139</t>
  </si>
  <si>
    <t>Order id = 140</t>
  </si>
  <si>
    <t>Order id = 141</t>
  </si>
  <si>
    <t>Order id = 142</t>
  </si>
  <si>
    <t>Order id = 143</t>
  </si>
  <si>
    <t>Order id = 144</t>
  </si>
  <si>
    <t>Order id = 145</t>
  </si>
  <si>
    <t>Order id = 146</t>
  </si>
  <si>
    <t>Order id = 147</t>
  </si>
  <si>
    <t>Order id = 148</t>
  </si>
  <si>
    <t>15-07-2018</t>
  </si>
  <si>
    <t>Order id = 149</t>
  </si>
  <si>
    <t>Order id = 150</t>
  </si>
  <si>
    <t>Order id = 151</t>
  </si>
  <si>
    <t>Order id = 152</t>
  </si>
  <si>
    <t>Order id = 153</t>
  </si>
  <si>
    <t>Order id = 154</t>
  </si>
  <si>
    <t>Order id = 155</t>
  </si>
  <si>
    <t>Order id = 156</t>
  </si>
  <si>
    <t>Order id = 157</t>
  </si>
  <si>
    <t>Order id = 158</t>
  </si>
  <si>
    <t>Order id = 159</t>
  </si>
  <si>
    <t>Order id = 160</t>
  </si>
  <si>
    <t>Order id = 161</t>
  </si>
  <si>
    <t>Order id = 162</t>
  </si>
  <si>
    <t>Order id = 163</t>
  </si>
  <si>
    <t>16-07-2018</t>
  </si>
  <si>
    <t>Order id = 164</t>
  </si>
  <si>
    <t>Order id = 165</t>
  </si>
  <si>
    <t>Order id = 166</t>
  </si>
  <si>
    <t>Order id = 167</t>
  </si>
  <si>
    <t>Order id = 168</t>
  </si>
  <si>
    <t>Order id = 169</t>
  </si>
  <si>
    <t>Order id = 170</t>
  </si>
  <si>
    <t>Order id = 171</t>
  </si>
  <si>
    <t>Order id = 172</t>
  </si>
  <si>
    <t>Order id = 173</t>
  </si>
  <si>
    <t>Order id = 174</t>
  </si>
  <si>
    <t>17-07-2018</t>
  </si>
  <si>
    <t>Order id = 175</t>
  </si>
  <si>
    <t>Order id = 176</t>
  </si>
  <si>
    <t>Order id = 177</t>
  </si>
  <si>
    <t>Order id = 178</t>
  </si>
  <si>
    <t>Order id = 179</t>
  </si>
  <si>
    <t>Order id = 180</t>
  </si>
  <si>
    <t>Order id = 181</t>
  </si>
  <si>
    <t>Order id = 182</t>
  </si>
  <si>
    <t>Order id = 183</t>
  </si>
  <si>
    <t>Order id = 184</t>
  </si>
  <si>
    <t>Order id = 185</t>
  </si>
  <si>
    <t>Order id = 186</t>
  </si>
  <si>
    <t>Order id = 187</t>
  </si>
  <si>
    <t>18-07-2018</t>
  </si>
  <si>
    <t>Order id = 188</t>
  </si>
  <si>
    <t>Order id = 189</t>
  </si>
  <si>
    <t>Order id = 190</t>
  </si>
  <si>
    <t>Order id = 191</t>
  </si>
  <si>
    <t>Order id = 192</t>
  </si>
  <si>
    <t>Order id = 193</t>
  </si>
  <si>
    <t>Order id = 194</t>
  </si>
  <si>
    <t>Order id = 195</t>
  </si>
  <si>
    <t>Order id = 196</t>
  </si>
  <si>
    <t>Order id = 197</t>
  </si>
  <si>
    <t>19-07-2018</t>
  </si>
  <si>
    <t>Order id = 198</t>
  </si>
  <si>
    <t>Order id = 199</t>
  </si>
  <si>
    <t>Order id = 200</t>
  </si>
  <si>
    <t>Order id = 201</t>
  </si>
  <si>
    <t>Order id = 202</t>
  </si>
  <si>
    <t>Order id = 203</t>
  </si>
  <si>
    <t>Order id = 204</t>
  </si>
  <si>
    <t>20-07-2018</t>
  </si>
  <si>
    <t>Order id = 205</t>
  </si>
  <si>
    <t>Order id = 206</t>
  </si>
  <si>
    <t>Order id = 207</t>
  </si>
  <si>
    <t>Order id = 208</t>
  </si>
  <si>
    <t>Order id = 209</t>
  </si>
  <si>
    <t>Order id = 210</t>
  </si>
  <si>
    <t>Order id = 211</t>
  </si>
  <si>
    <t>21-07-2018</t>
  </si>
  <si>
    <t>Order id = 212</t>
  </si>
  <si>
    <t>Order id = 213</t>
  </si>
  <si>
    <t>Order id = 214</t>
  </si>
  <si>
    <t>Order id = 215</t>
  </si>
  <si>
    <t>Order id = 216</t>
  </si>
  <si>
    <t>Order id = 217</t>
  </si>
  <si>
    <t>Order id = 218</t>
  </si>
  <si>
    <t>Order id = 219</t>
  </si>
  <si>
    <t>Order id = 220</t>
  </si>
  <si>
    <t>Order id = 221</t>
  </si>
  <si>
    <t>Order id = 222</t>
  </si>
  <si>
    <t>Order id = 223</t>
  </si>
  <si>
    <t>Order id = 224</t>
  </si>
  <si>
    <t>22-07-2018</t>
  </si>
  <si>
    <t>Order id = 225</t>
  </si>
  <si>
    <t>Order id = 226</t>
  </si>
  <si>
    <t>Order id = 227</t>
  </si>
  <si>
    <t>Order id = 228</t>
  </si>
  <si>
    <t>Order id = 229</t>
  </si>
  <si>
    <t>Order id = 230</t>
  </si>
  <si>
    <t>Order id = 231</t>
  </si>
  <si>
    <t>Order id = 232</t>
  </si>
  <si>
    <t>Order id = 233</t>
  </si>
  <si>
    <t>Order id = 234</t>
  </si>
  <si>
    <t>Order id = 235</t>
  </si>
  <si>
    <t>Order id = 236</t>
  </si>
  <si>
    <t>Order id = 237</t>
  </si>
  <si>
    <t>Order id = 238</t>
  </si>
  <si>
    <t>23-07-2018</t>
  </si>
  <si>
    <t>Order id = 239</t>
  </si>
  <si>
    <t>Order id = 240</t>
  </si>
  <si>
    <t>Order id = 241</t>
  </si>
  <si>
    <t>Order id = 242</t>
  </si>
  <si>
    <t>Order id = 243</t>
  </si>
  <si>
    <t>Order id = 244</t>
  </si>
  <si>
    <t>Order id = 245</t>
  </si>
  <si>
    <t>Order id = 246</t>
  </si>
  <si>
    <t>Order id = 247</t>
  </si>
  <si>
    <t>Order id = 248</t>
  </si>
  <si>
    <t>Order id = 249</t>
  </si>
  <si>
    <t>24-07-2018</t>
  </si>
  <si>
    <t>Order id = 250</t>
  </si>
  <si>
    <t>Order id = 251</t>
  </si>
  <si>
    <t>Order id = 252</t>
  </si>
  <si>
    <t>Order id = 253</t>
  </si>
  <si>
    <t>Order id = 254</t>
  </si>
  <si>
    <t>Order id = 255</t>
  </si>
  <si>
    <t>Order id = 256</t>
  </si>
  <si>
    <t>Order id = 257</t>
  </si>
  <si>
    <t>Order id = 258</t>
  </si>
  <si>
    <t>Order id = 259</t>
  </si>
  <si>
    <t>Order id = 260</t>
  </si>
  <si>
    <t>Order id = 261</t>
  </si>
  <si>
    <t>Order id = 262</t>
  </si>
  <si>
    <t>Order id = 263</t>
  </si>
  <si>
    <t>25-07-2018</t>
  </si>
  <si>
    <t>Order id = 264</t>
  </si>
  <si>
    <t>Order id = 265</t>
  </si>
  <si>
    <t>Order id = 266</t>
  </si>
  <si>
    <t>Order id = 267</t>
  </si>
  <si>
    <t>Order id = 268</t>
  </si>
  <si>
    <t>Order id = 269</t>
  </si>
  <si>
    <t>Order id = 270</t>
  </si>
  <si>
    <t>Order id = 271</t>
  </si>
  <si>
    <t>Order id = 272</t>
  </si>
  <si>
    <t>Order id = 273</t>
  </si>
  <si>
    <t>Order id = 274</t>
  </si>
  <si>
    <t>Order id = 275</t>
  </si>
  <si>
    <t>Order id = 276</t>
  </si>
  <si>
    <t>Order id = 277</t>
  </si>
  <si>
    <t>Order id = 278</t>
  </si>
  <si>
    <t>Order id = 279</t>
  </si>
  <si>
    <t>Order id = 280</t>
  </si>
  <si>
    <t>Order id = 281</t>
  </si>
  <si>
    <t>26-07-2018</t>
  </si>
  <si>
    <t>Order id = 282</t>
  </si>
  <si>
    <t>Order id = 283</t>
  </si>
  <si>
    <t>Order id = 284</t>
  </si>
  <si>
    <t>Order id = 285</t>
  </si>
  <si>
    <t>Order id = 286</t>
  </si>
  <si>
    <t>Order id = 287</t>
  </si>
  <si>
    <t>Order id = 288</t>
  </si>
  <si>
    <t>Order id = 289</t>
  </si>
  <si>
    <t>Order id = 290</t>
  </si>
  <si>
    <t>Order id = 291</t>
  </si>
  <si>
    <t>Order id = 292</t>
  </si>
  <si>
    <t>27-07-2018</t>
  </si>
  <si>
    <t>Order id = 293</t>
  </si>
  <si>
    <t>Order id = 294</t>
  </si>
  <si>
    <t>Order id = 295</t>
  </si>
  <si>
    <t>Order id = 296</t>
  </si>
  <si>
    <t>Order id = 297</t>
  </si>
  <si>
    <t>Order id = 298</t>
  </si>
  <si>
    <t>Order id = 299</t>
  </si>
  <si>
    <t>Order id = 300</t>
  </si>
  <si>
    <t>28-07-2018</t>
  </si>
  <si>
    <t>Order id = 301</t>
  </si>
  <si>
    <t>Order id = 302</t>
  </si>
  <si>
    <t>Order id = 303</t>
  </si>
  <si>
    <t>Order id = 304</t>
  </si>
  <si>
    <t>Order id = 305</t>
  </si>
  <si>
    <t>Order id = 306</t>
  </si>
  <si>
    <t>Order id = 307</t>
  </si>
  <si>
    <t>Order id = 308</t>
  </si>
  <si>
    <t>Order id = 309</t>
  </si>
  <si>
    <t>29-07-2018</t>
  </si>
  <si>
    <t>Order id = 310</t>
  </si>
  <si>
    <t>Order id = 311</t>
  </si>
  <si>
    <t>Order id = 312</t>
  </si>
  <si>
    <t>Order id = 313</t>
  </si>
  <si>
    <t>Order id = 314</t>
  </si>
  <si>
    <t>Order id = 315</t>
  </si>
  <si>
    <t>Order id = 316</t>
  </si>
  <si>
    <t>30-07-2018</t>
  </si>
  <si>
    <t>Order id = 317</t>
  </si>
  <si>
    <t>Order id = 318</t>
  </si>
  <si>
    <t>Order id = 319</t>
  </si>
  <si>
    <t>Order id = 320</t>
  </si>
  <si>
    <t>Order id = 321</t>
  </si>
  <si>
    <t>Order id = 322</t>
  </si>
  <si>
    <t>Order id = 323</t>
  </si>
  <si>
    <t>Order id = 324</t>
  </si>
  <si>
    <t>Order id = 325</t>
  </si>
  <si>
    <t>Order id = 326</t>
  </si>
  <si>
    <t>Order id = 327</t>
  </si>
  <si>
    <t>Order id = 328</t>
  </si>
  <si>
    <t>Order id = 329</t>
  </si>
  <si>
    <t>Order id = 330</t>
  </si>
  <si>
    <t>Order id = 331</t>
  </si>
  <si>
    <t>Order id = 332</t>
  </si>
  <si>
    <t>Order id = 333</t>
  </si>
  <si>
    <t>Order id = 334</t>
  </si>
  <si>
    <t>Order id = 335</t>
  </si>
  <si>
    <t>Order id = 336</t>
  </si>
  <si>
    <t>Order id = 337</t>
  </si>
  <si>
    <t>Order id = 338</t>
  </si>
  <si>
    <t>Order id = 339</t>
  </si>
  <si>
    <t>Order id = 340</t>
  </si>
  <si>
    <t>Order id = 341</t>
  </si>
  <si>
    <t>Order id = 342</t>
  </si>
  <si>
    <t>Order id = 343</t>
  </si>
  <si>
    <t>Order id = 344</t>
  </si>
  <si>
    <t>Order id = 345</t>
  </si>
  <si>
    <t>Order id = 346</t>
  </si>
  <si>
    <t>Order id = 347</t>
  </si>
  <si>
    <t>Order id = 348</t>
  </si>
  <si>
    <t>Order id = 349</t>
  </si>
  <si>
    <t>Order id = 350</t>
  </si>
  <si>
    <t>Order id = 351</t>
  </si>
  <si>
    <t>Order id = 352</t>
  </si>
  <si>
    <t>Order id = 353</t>
  </si>
  <si>
    <t>Order id = 354</t>
  </si>
  <si>
    <t>Order id = 355</t>
  </si>
  <si>
    <t>Order id = 356</t>
  </si>
  <si>
    <t>Order id = 357</t>
  </si>
  <si>
    <t>Order id = 358</t>
  </si>
  <si>
    <t>Order id = 359</t>
  </si>
  <si>
    <t>Order id = 360</t>
  </si>
  <si>
    <t>Order id = 361</t>
  </si>
  <si>
    <t>Order id = 362</t>
  </si>
  <si>
    <t>Order id = 363</t>
  </si>
  <si>
    <t>Order id = 364</t>
  </si>
  <si>
    <t>Order id = 365</t>
  </si>
  <si>
    <t>Order id = 366</t>
  </si>
  <si>
    <t>Order id = 367</t>
  </si>
  <si>
    <t>Order id = 368</t>
  </si>
  <si>
    <t>Order id = 369</t>
  </si>
  <si>
    <t>Order id = 370</t>
  </si>
  <si>
    <t>Order id = 371</t>
  </si>
  <si>
    <t>Order id = 372</t>
  </si>
  <si>
    <t>Order id = 373</t>
  </si>
  <si>
    <t>Order id = 374</t>
  </si>
  <si>
    <t>Order id = 375</t>
  </si>
  <si>
    <t>Order id = 376</t>
  </si>
  <si>
    <t>Order id = 377</t>
  </si>
  <si>
    <t>Order id = 378</t>
  </si>
  <si>
    <t>Order id = 379</t>
  </si>
  <si>
    <t>Order id = 380</t>
  </si>
  <si>
    <t>Order id = 381</t>
  </si>
  <si>
    <t>Order id = 382</t>
  </si>
  <si>
    <t>Order id = 383</t>
  </si>
  <si>
    <t>Order id = 384</t>
  </si>
  <si>
    <t>Order id = 385</t>
  </si>
  <si>
    <t>Order id = 386</t>
  </si>
  <si>
    <t>Order id = 387</t>
  </si>
  <si>
    <t>Order id = 388</t>
  </si>
  <si>
    <t>Order id = 389</t>
  </si>
  <si>
    <t>Order id = 390</t>
  </si>
  <si>
    <t>Order id = 391</t>
  </si>
  <si>
    <t>Order id = 392</t>
  </si>
  <si>
    <t>Order id = 393</t>
  </si>
  <si>
    <t>Order id = 394</t>
  </si>
  <si>
    <t>Order id = 395</t>
  </si>
  <si>
    <t>Order id = 396</t>
  </si>
  <si>
    <t>Order id = 397</t>
  </si>
  <si>
    <t>Order id = 398</t>
  </si>
  <si>
    <t>Order id = 399</t>
  </si>
  <si>
    <t>Order id = 400</t>
  </si>
  <si>
    <t>Order id = 401</t>
  </si>
  <si>
    <t>Order id = 402</t>
  </si>
  <si>
    <t>Order id = 403</t>
  </si>
  <si>
    <t>Order id = 404</t>
  </si>
  <si>
    <t>Order id = 405</t>
  </si>
  <si>
    <t>Order id = 406</t>
  </si>
  <si>
    <t>Order id = 407</t>
  </si>
  <si>
    <t>Order id = 408</t>
  </si>
  <si>
    <t>Order id = 409</t>
  </si>
  <si>
    <t>Order id = 410</t>
  </si>
  <si>
    <t>Order id = 411</t>
  </si>
  <si>
    <t>Order id = 412</t>
  </si>
  <si>
    <t>Order id = 413</t>
  </si>
  <si>
    <t>Order id = 414</t>
  </si>
  <si>
    <t>Order id = 415</t>
  </si>
  <si>
    <t>Order id = 416</t>
  </si>
  <si>
    <t>Order id = 417</t>
  </si>
  <si>
    <t>Order id = 418</t>
  </si>
  <si>
    <t>Order id = 419</t>
  </si>
  <si>
    <t>Order id = 420</t>
  </si>
  <si>
    <t>Order id = 421</t>
  </si>
  <si>
    <t>Order id = 422</t>
  </si>
  <si>
    <t>Order id = 423</t>
  </si>
  <si>
    <t>Order id = 424</t>
  </si>
  <si>
    <t>Order id = 425</t>
  </si>
  <si>
    <t>Order id = 426</t>
  </si>
  <si>
    <t>Order id = 427</t>
  </si>
  <si>
    <t>Order id = 428</t>
  </si>
  <si>
    <t>Order id = 429</t>
  </si>
  <si>
    <t>Order id = 430</t>
  </si>
  <si>
    <t>Order id = 431</t>
  </si>
  <si>
    <t>Order id = 432</t>
  </si>
  <si>
    <t>Order id = 433</t>
  </si>
  <si>
    <t>Order id = 434</t>
  </si>
  <si>
    <t>Order id = 435</t>
  </si>
  <si>
    <t>Order id = 436</t>
  </si>
  <si>
    <t>Order id = 437</t>
  </si>
  <si>
    <t>Order id = 438</t>
  </si>
  <si>
    <t>Order id = 439</t>
  </si>
  <si>
    <t>Order id = 440</t>
  </si>
  <si>
    <t>Order id = 441</t>
  </si>
  <si>
    <t>Order id = 442</t>
  </si>
  <si>
    <t>Order id = 443</t>
  </si>
  <si>
    <t>Order id = 444</t>
  </si>
  <si>
    <t>Order id = 445</t>
  </si>
  <si>
    <t>Order id = 446</t>
  </si>
  <si>
    <t>Order id = 447</t>
  </si>
  <si>
    <t>Order id = 448</t>
  </si>
  <si>
    <t>Order id = 449</t>
  </si>
  <si>
    <t>Order id = 450</t>
  </si>
  <si>
    <t>Order id = 451</t>
  </si>
  <si>
    <t>Order id = 452</t>
  </si>
  <si>
    <t>Order id = 453</t>
  </si>
  <si>
    <t>Order id = 454</t>
  </si>
  <si>
    <t>Order id = 455</t>
  </si>
  <si>
    <t>Order id = 456</t>
  </si>
  <si>
    <t>Order id = 457</t>
  </si>
  <si>
    <t>Order id = 458</t>
  </si>
  <si>
    <t>Order id = 459</t>
  </si>
  <si>
    <t>Order id = 460</t>
  </si>
  <si>
    <t>Order id = 461</t>
  </si>
  <si>
    <t>Order id = 462</t>
  </si>
  <si>
    <t>Order id = 463</t>
  </si>
  <si>
    <t>Order id = 464</t>
  </si>
  <si>
    <t>Order id = 465</t>
  </si>
  <si>
    <t>Order id = 466</t>
  </si>
  <si>
    <t>Order id = 467</t>
  </si>
  <si>
    <t>Order id = 468</t>
  </si>
  <si>
    <t>Order id = 469</t>
  </si>
  <si>
    <t>Order id = 470</t>
  </si>
  <si>
    <t>Order id = 471</t>
  </si>
  <si>
    <t>Order id = 472</t>
  </si>
  <si>
    <t>Order id = 473</t>
  </si>
  <si>
    <t>Order id = 474</t>
  </si>
  <si>
    <t>Order id = 475</t>
  </si>
  <si>
    <t>Order id = 476</t>
  </si>
  <si>
    <t>Order id = 477</t>
  </si>
  <si>
    <t>Order id = 478</t>
  </si>
  <si>
    <t>Order id = 479</t>
  </si>
  <si>
    <t>Order id = 480</t>
  </si>
  <si>
    <t>Order id = 481</t>
  </si>
  <si>
    <t>Order id = 482</t>
  </si>
  <si>
    <t>Order id = 483</t>
  </si>
  <si>
    <t>Order id = 484</t>
  </si>
  <si>
    <t>Order id = 485</t>
  </si>
  <si>
    <t>Order id = 486</t>
  </si>
  <si>
    <t>Order id = 487</t>
  </si>
  <si>
    <t>Order id = 488</t>
  </si>
  <si>
    <t>Order id = 489</t>
  </si>
  <si>
    <t>Order id = 490</t>
  </si>
  <si>
    <t>Order id = 491</t>
  </si>
  <si>
    <t>Order id = 492</t>
  </si>
  <si>
    <t>Order id = 493</t>
  </si>
  <si>
    <t>Order id = 494</t>
  </si>
  <si>
    <t>Order id = 495</t>
  </si>
  <si>
    <t>Order id = 496</t>
  </si>
  <si>
    <t>Order id = 497</t>
  </si>
  <si>
    <t>Order id = 498</t>
  </si>
  <si>
    <t>Order id = 499</t>
  </si>
  <si>
    <t>Order id = 500</t>
  </si>
  <si>
    <t>Order id = 501</t>
  </si>
  <si>
    <t>Order id = 502</t>
  </si>
  <si>
    <t>Order id = 503</t>
  </si>
  <si>
    <t>Order id = 504</t>
  </si>
  <si>
    <t>Order id = 505</t>
  </si>
  <si>
    <t>Order id = 506</t>
  </si>
  <si>
    <t>Order id = 507</t>
  </si>
  <si>
    <t>Order id = 508</t>
  </si>
  <si>
    <t>Order id = 509</t>
  </si>
  <si>
    <t>Order id = 510</t>
  </si>
  <si>
    <t>Order id = 511</t>
  </si>
  <si>
    <t>Order id = 512</t>
  </si>
  <si>
    <t>Order id = 513</t>
  </si>
  <si>
    <t>Order id = 514</t>
  </si>
  <si>
    <t>Order id = 515</t>
  </si>
  <si>
    <t>Order id = 516</t>
  </si>
  <si>
    <t>Order id = 517</t>
  </si>
  <si>
    <t>Order id = 518</t>
  </si>
  <si>
    <t>Order id = 519</t>
  </si>
  <si>
    <t>Order id = 520</t>
  </si>
  <si>
    <t>Order id = 521</t>
  </si>
  <si>
    <t>Order id = 522</t>
  </si>
  <si>
    <t>Order id = 523</t>
  </si>
  <si>
    <t>Order id = 524</t>
  </si>
  <si>
    <t>Order id = 525</t>
  </si>
  <si>
    <t>Order id = 526</t>
  </si>
  <si>
    <t>Order id = 527</t>
  </si>
  <si>
    <t>Order id = 528</t>
  </si>
  <si>
    <t>Order id = 529</t>
  </si>
  <si>
    <t>Order id = 530</t>
  </si>
  <si>
    <t>Order id = 531</t>
  </si>
  <si>
    <t>Order id = 532</t>
  </si>
  <si>
    <t>Order id = 533</t>
  </si>
  <si>
    <t>Order id = 534</t>
  </si>
  <si>
    <t>Order id = 535</t>
  </si>
  <si>
    <t>Order id = 536</t>
  </si>
  <si>
    <t>Order id = 537</t>
  </si>
  <si>
    <t>Order id = 538</t>
  </si>
  <si>
    <t>Order id = 539</t>
  </si>
  <si>
    <t>Order id = 540</t>
  </si>
  <si>
    <t>Order id = 541</t>
  </si>
  <si>
    <t>Order id = 542</t>
  </si>
  <si>
    <t>Order id = 543</t>
  </si>
  <si>
    <t>Order id = 544</t>
  </si>
  <si>
    <t>Order id = 545</t>
  </si>
  <si>
    <t>Order id = 546</t>
  </si>
  <si>
    <t>Order id = 547</t>
  </si>
  <si>
    <t>Order id = 548</t>
  </si>
  <si>
    <t>Order id = 549</t>
  </si>
  <si>
    <t>Order id = 550</t>
  </si>
  <si>
    <t>Order id = 551</t>
  </si>
  <si>
    <t>Order id = 552</t>
  </si>
  <si>
    <t>Order id = 553</t>
  </si>
  <si>
    <t>Order id = 554</t>
  </si>
  <si>
    <t>Order id = 555</t>
  </si>
  <si>
    <t>Order id = 556</t>
  </si>
  <si>
    <t>Order id = 557</t>
  </si>
  <si>
    <t>Order id = 558</t>
  </si>
  <si>
    <t>Order id = 559</t>
  </si>
  <si>
    <t>Order id = 560</t>
  </si>
  <si>
    <t>Order id = 561</t>
  </si>
  <si>
    <t>Order id = 562</t>
  </si>
  <si>
    <t>Order id = 563</t>
  </si>
  <si>
    <t>Order id = 564</t>
  </si>
  <si>
    <t>Order id = 565</t>
  </si>
  <si>
    <t>Order id = 566</t>
  </si>
  <si>
    <t>Order id = 567</t>
  </si>
  <si>
    <t>Order id = 568</t>
  </si>
  <si>
    <t>Order id = 569</t>
  </si>
  <si>
    <t>Order id = 570</t>
  </si>
  <si>
    <t>Order id = 571</t>
  </si>
  <si>
    <t>Order id = 572</t>
  </si>
  <si>
    <t>Order id = 573</t>
  </si>
  <si>
    <t>Order id = 574</t>
  </si>
  <si>
    <t>Order id = 575</t>
  </si>
  <si>
    <t>Order id = 576</t>
  </si>
  <si>
    <t>Order id = 577</t>
  </si>
  <si>
    <t>Order id = 578</t>
  </si>
  <si>
    <t>Order id = 579</t>
  </si>
  <si>
    <t>Order id = 580</t>
  </si>
  <si>
    <t>Order id = 581</t>
  </si>
  <si>
    <t>Order id = 582</t>
  </si>
  <si>
    <t>Order id = 583</t>
  </si>
  <si>
    <t>Order id = 584</t>
  </si>
  <si>
    <t>Order id = 585</t>
  </si>
  <si>
    <t>Order id = 586</t>
  </si>
  <si>
    <t>Order id = 587</t>
  </si>
  <si>
    <t>Order id = 588</t>
  </si>
  <si>
    <t>Order id = 589</t>
  </si>
  <si>
    <t>Order id = 590</t>
  </si>
  <si>
    <t>Order id = 591</t>
  </si>
  <si>
    <t>Order id = 592</t>
  </si>
  <si>
    <t>Order id = 593</t>
  </si>
  <si>
    <t>Order id = 594</t>
  </si>
  <si>
    <t>Order id = 595</t>
  </si>
  <si>
    <t>Order id = 596</t>
  </si>
  <si>
    <t>Order id = 597</t>
  </si>
  <si>
    <t>Order id = 598</t>
  </si>
  <si>
    <t>Order id = 599</t>
  </si>
  <si>
    <t>Order id = 600</t>
  </si>
  <si>
    <t>Order id = 601</t>
  </si>
  <si>
    <t>Order id = 602</t>
  </si>
  <si>
    <t>Order id = 603</t>
  </si>
  <si>
    <t>Order id = 604</t>
  </si>
  <si>
    <t>Order id = 605</t>
  </si>
  <si>
    <t>Order id = 606</t>
  </si>
  <si>
    <t>Order id = 607</t>
  </si>
  <si>
    <t>Order id = 608</t>
  </si>
  <si>
    <t>Order id = 609</t>
  </si>
  <si>
    <t>Order id = 610</t>
  </si>
  <si>
    <t>Order id = 611</t>
  </si>
  <si>
    <t>Order id = 612</t>
  </si>
  <si>
    <t>Order id = 613</t>
  </si>
  <si>
    <t>Order id = 614</t>
  </si>
  <si>
    <t>Order id = 615</t>
  </si>
  <si>
    <t>Order id = 616</t>
  </si>
  <si>
    <t>Order id = 617</t>
  </si>
  <si>
    <t>Order id = 618</t>
  </si>
  <si>
    <t>Order id = 619</t>
  </si>
  <si>
    <t>Order id = 620</t>
  </si>
  <si>
    <t>Order id = 621</t>
  </si>
  <si>
    <t>Order id = 622</t>
  </si>
  <si>
    <t>Order id = 623</t>
  </si>
  <si>
    <t>Order id = 624</t>
  </si>
  <si>
    <t>Order id = 625</t>
  </si>
  <si>
    <t>Order id = 626</t>
  </si>
  <si>
    <t>Order id = 627</t>
  </si>
  <si>
    <t>Order id = 628</t>
  </si>
  <si>
    <t>Order id = 629</t>
  </si>
  <si>
    <t>Order id = 630</t>
  </si>
  <si>
    <t>Order id = 631</t>
  </si>
  <si>
    <t>Order id = 632</t>
  </si>
  <si>
    <t>Order id = 633</t>
  </si>
  <si>
    <t>Order id = 634</t>
  </si>
  <si>
    <t>Order id = 635</t>
  </si>
  <si>
    <t>Order id = 636</t>
  </si>
  <si>
    <t>Order id = 637</t>
  </si>
  <si>
    <t>Order id = 638</t>
  </si>
  <si>
    <t>Order id = 639</t>
  </si>
  <si>
    <t>Order id = 640</t>
  </si>
  <si>
    <t>Order id = 641</t>
  </si>
  <si>
    <t>Order id = 642</t>
  </si>
  <si>
    <t>Order id = 643</t>
  </si>
  <si>
    <t>Order id = 644</t>
  </si>
  <si>
    <t>Order id = 645</t>
  </si>
  <si>
    <t>Order id = 646</t>
  </si>
  <si>
    <t>Order id = 647</t>
  </si>
  <si>
    <t>Order id = 648</t>
  </si>
  <si>
    <t>Order id = 649</t>
  </si>
  <si>
    <t>Order id = 650</t>
  </si>
  <si>
    <t>Order id = 651</t>
  </si>
  <si>
    <t>Order id = 652</t>
  </si>
  <si>
    <t>Order id = 653</t>
  </si>
  <si>
    <t>Order id = 654</t>
  </si>
  <si>
    <t>Order id = 655</t>
  </si>
  <si>
    <t>Order id = 656</t>
  </si>
  <si>
    <t>Order id = 657</t>
  </si>
  <si>
    <t>Order id = 658</t>
  </si>
  <si>
    <t>Order id = 659</t>
  </si>
  <si>
    <t>Order id = 660</t>
  </si>
  <si>
    <t>Order id = 661</t>
  </si>
  <si>
    <t>31-07-2018</t>
  </si>
  <si>
    <t>Order id = 662</t>
  </si>
  <si>
    <t>Order id = 663</t>
  </si>
  <si>
    <t>Order id = 664</t>
  </si>
  <si>
    <t>Order id = 665</t>
  </si>
  <si>
    <t>Order id = 666</t>
  </si>
  <si>
    <t>Order id = 667</t>
  </si>
  <si>
    <t>Order id = 668</t>
  </si>
  <si>
    <t>Order id = 669</t>
  </si>
  <si>
    <t>Order id = 670</t>
  </si>
  <si>
    <t>Order id = 671</t>
  </si>
  <si>
    <t>Order id = 672</t>
  </si>
  <si>
    <t>Order id = 673</t>
  </si>
  <si>
    <t>Order id = 674</t>
  </si>
  <si>
    <t>Order id = 675</t>
  </si>
  <si>
    <t>Order id = 676</t>
  </si>
  <si>
    <t>Order id = 677</t>
  </si>
  <si>
    <t>Order id = 678</t>
  </si>
  <si>
    <t>Order id = 679</t>
  </si>
  <si>
    <t>Order id = 680</t>
  </si>
  <si>
    <t>Order id = 681</t>
  </si>
  <si>
    <t>Order id = 682</t>
  </si>
  <si>
    <t>Order id = 683</t>
  </si>
  <si>
    <t>Order id = 684</t>
  </si>
  <si>
    <t>Order id = 685</t>
  </si>
  <si>
    <t>Order id = 686</t>
  </si>
  <si>
    <t>Order id = 687</t>
  </si>
  <si>
    <t>Order id = 688</t>
  </si>
  <si>
    <t>Order id = 689</t>
  </si>
  <si>
    <t>Order id = 690</t>
  </si>
  <si>
    <t>Order id = 691</t>
  </si>
  <si>
    <t>Order id = 692</t>
  </si>
  <si>
    <t>Order id = 693</t>
  </si>
  <si>
    <t>Order id = 694</t>
  </si>
  <si>
    <t>Order id = 695</t>
  </si>
  <si>
    <t>Order id = 696</t>
  </si>
  <si>
    <t>Order id = 697</t>
  </si>
  <si>
    <t>Order id = 698</t>
  </si>
  <si>
    <t>Order id = 699</t>
  </si>
  <si>
    <t>Order id = 700</t>
  </si>
  <si>
    <t>Order id = 701</t>
  </si>
  <si>
    <t>Order id = 702</t>
  </si>
  <si>
    <t>Order id = 703</t>
  </si>
  <si>
    <t>Order id = 704</t>
  </si>
  <si>
    <t>Order id = 705</t>
  </si>
  <si>
    <t>Order id = 706</t>
  </si>
  <si>
    <t>Order id = 707</t>
  </si>
  <si>
    <t>Order id = 708</t>
  </si>
  <si>
    <t>Order id = 709</t>
  </si>
  <si>
    <t>Order id = 710</t>
  </si>
  <si>
    <t>Order id = 711</t>
  </si>
  <si>
    <t>Order id = 712</t>
  </si>
  <si>
    <t>Order id = 713</t>
  </si>
  <si>
    <t>Order id = 714</t>
  </si>
  <si>
    <t>Order id = 715</t>
  </si>
  <si>
    <t>Order id = 716</t>
  </si>
  <si>
    <t>Order id = 717</t>
  </si>
  <si>
    <t>Order id = 718</t>
  </si>
  <si>
    <t>Order id = 719</t>
  </si>
  <si>
    <t>Order id = 720</t>
  </si>
  <si>
    <t>Order id = 721</t>
  </si>
  <si>
    <t>Order id = 722</t>
  </si>
  <si>
    <t>Order id = 723</t>
  </si>
  <si>
    <t>Order id = 724</t>
  </si>
  <si>
    <t>Order id = 725</t>
  </si>
  <si>
    <t>Order id = 726</t>
  </si>
  <si>
    <t>Order id = 727</t>
  </si>
  <si>
    <t>Order id = 728</t>
  </si>
  <si>
    <t>Order id = 729</t>
  </si>
  <si>
    <t>Order id = 730</t>
  </si>
  <si>
    <t>Order id = 731</t>
  </si>
  <si>
    <t>Order id = 732</t>
  </si>
  <si>
    <t>Order id = 733</t>
  </si>
  <si>
    <t>Order id = 734</t>
  </si>
  <si>
    <t>Order id = 735</t>
  </si>
  <si>
    <t>Order id = 736</t>
  </si>
  <si>
    <t>Order id = 737</t>
  </si>
  <si>
    <t>Order id = 738</t>
  </si>
  <si>
    <t>Order id = 739</t>
  </si>
  <si>
    <t>Order id = 740</t>
  </si>
  <si>
    <t>Order id = 741</t>
  </si>
  <si>
    <t>Order id = 742</t>
  </si>
  <si>
    <t>Order id = 743</t>
  </si>
  <si>
    <t>Order id = 744</t>
  </si>
  <si>
    <t>Order id = 745</t>
  </si>
  <si>
    <t>Order id = 746</t>
  </si>
  <si>
    <t>Order id = 747</t>
  </si>
  <si>
    <t>Order id = 748</t>
  </si>
  <si>
    <t>Order id = 749</t>
  </si>
  <si>
    <t>Order id = 750</t>
  </si>
  <si>
    <t>Order id = 751</t>
  </si>
  <si>
    <t>Order id = 752</t>
  </si>
  <si>
    <t>Order id = 753</t>
  </si>
  <si>
    <t>Order id = 754</t>
  </si>
  <si>
    <t>Order id = 755</t>
  </si>
  <si>
    <t>Order id = 756</t>
  </si>
  <si>
    <t>Order id = 757</t>
  </si>
  <si>
    <t>Order id = 758</t>
  </si>
  <si>
    <t>Order id = 759</t>
  </si>
  <si>
    <t>Order id = 760</t>
  </si>
  <si>
    <t>Order id = 761</t>
  </si>
  <si>
    <t>Order id = 762</t>
  </si>
  <si>
    <t>Order id = 763</t>
  </si>
  <si>
    <t>Order id = 764</t>
  </si>
  <si>
    <t>Order id = 765</t>
  </si>
  <si>
    <t>Order id = 766</t>
  </si>
  <si>
    <t>Order id = 767</t>
  </si>
  <si>
    <t>Order id = 768</t>
  </si>
  <si>
    <t>Order id = 769</t>
  </si>
  <si>
    <t>Order id = 770</t>
  </si>
  <si>
    <t>Order id = 771</t>
  </si>
  <si>
    <t>Order id = 772</t>
  </si>
  <si>
    <t>Order id = 773</t>
  </si>
  <si>
    <t>Order id = 774</t>
  </si>
  <si>
    <t>Order id = 775</t>
  </si>
  <si>
    <t>Order id = 776</t>
  </si>
  <si>
    <t>Order id = 777</t>
  </si>
  <si>
    <t>Order id = 778</t>
  </si>
  <si>
    <t>Order id = 779</t>
  </si>
  <si>
    <t>Order id = 780</t>
  </si>
  <si>
    <t>Order id = 781</t>
  </si>
  <si>
    <t>Order id = 782</t>
  </si>
  <si>
    <t>Order id = 783</t>
  </si>
  <si>
    <t>Order id = 784</t>
  </si>
  <si>
    <t>Order id = 785</t>
  </si>
  <si>
    <t>Order id = 786</t>
  </si>
  <si>
    <t>Order id = 787</t>
  </si>
  <si>
    <t>Order id = 788</t>
  </si>
  <si>
    <t>Order id = 789</t>
  </si>
  <si>
    <t>Order id = 790</t>
  </si>
  <si>
    <t>Order id = 791</t>
  </si>
  <si>
    <t>Order id = 792</t>
  </si>
  <si>
    <t>Order id = 793</t>
  </si>
  <si>
    <t>Order id = 794</t>
  </si>
  <si>
    <t>Order id = 795</t>
  </si>
  <si>
    <t>Order id = 796</t>
  </si>
  <si>
    <t>Order id = 797</t>
  </si>
  <si>
    <t>Order id = 798</t>
  </si>
  <si>
    <t>Order id = 799</t>
  </si>
  <si>
    <t>Order id = 800</t>
  </si>
  <si>
    <t>Order id = 801</t>
  </si>
  <si>
    <t>Order id = 802</t>
  </si>
  <si>
    <t>Order id = 803</t>
  </si>
  <si>
    <t>Order id = 804</t>
  </si>
  <si>
    <t>Order id = 805</t>
  </si>
  <si>
    <t>Order id = 806</t>
  </si>
  <si>
    <t>Order id = 807</t>
  </si>
  <si>
    <t>Order id = 808</t>
  </si>
  <si>
    <t>Order id = 809</t>
  </si>
  <si>
    <t>Order id = 810</t>
  </si>
  <si>
    <t>Order id = 811</t>
  </si>
  <si>
    <t>Order id = 812</t>
  </si>
  <si>
    <t>Order id = 813</t>
  </si>
  <si>
    <t>Order id = 814</t>
  </si>
  <si>
    <t>Order id = 815</t>
  </si>
  <si>
    <t>Order id = 816</t>
  </si>
  <si>
    <t>Order id = 817</t>
  </si>
  <si>
    <t>Order id = 818</t>
  </si>
  <si>
    <t>Order id = 819</t>
  </si>
  <si>
    <t>Order id = 820</t>
  </si>
  <si>
    <t>Order id = 821</t>
  </si>
  <si>
    <t>Order id = 822</t>
  </si>
  <si>
    <t>Order id = 823</t>
  </si>
  <si>
    <t>Order id = 824</t>
  </si>
  <si>
    <t>Order id = 825</t>
  </si>
  <si>
    <t>Order id = 826</t>
  </si>
  <si>
    <t>Order id = 827</t>
  </si>
  <si>
    <t>Order id = 828</t>
  </si>
  <si>
    <t>Order id = 829</t>
  </si>
  <si>
    <t>Order id = 830</t>
  </si>
  <si>
    <t>Order id = 831</t>
  </si>
  <si>
    <t>Order id = 832</t>
  </si>
  <si>
    <t>Order id = 833</t>
  </si>
  <si>
    <t>Order id = 834</t>
  </si>
  <si>
    <t>Order id = 835</t>
  </si>
  <si>
    <t>Order id = 836</t>
  </si>
  <si>
    <t>Order id = 837</t>
  </si>
  <si>
    <t>Order id = 838</t>
  </si>
  <si>
    <t>Order id = 839</t>
  </si>
  <si>
    <t>Order id = 840</t>
  </si>
  <si>
    <t>Order id = 841</t>
  </si>
  <si>
    <t>Order id = 842</t>
  </si>
  <si>
    <t>Order id = 843</t>
  </si>
  <si>
    <t>Order id = 844</t>
  </si>
  <si>
    <t>Order id = 845</t>
  </si>
  <si>
    <t>Order id = 846</t>
  </si>
  <si>
    <t>Order id = 847</t>
  </si>
  <si>
    <t>Order id = 848</t>
  </si>
  <si>
    <t>Order id = 849</t>
  </si>
  <si>
    <t>Order id = 850</t>
  </si>
  <si>
    <t>Order id = 851</t>
  </si>
  <si>
    <t>Order id = 852</t>
  </si>
  <si>
    <t>Order id = 853</t>
  </si>
  <si>
    <t>Order id = 854</t>
  </si>
  <si>
    <t>Order id = 855</t>
  </si>
  <si>
    <t>Order id = 856</t>
  </si>
  <si>
    <t>Order id = 857</t>
  </si>
  <si>
    <t>Order id = 858</t>
  </si>
  <si>
    <t>Order id = 859</t>
  </si>
  <si>
    <t>Order id = 860</t>
  </si>
  <si>
    <t>Order id = 861</t>
  </si>
  <si>
    <t>Order id = 862</t>
  </si>
  <si>
    <t>Order id = 863</t>
  </si>
  <si>
    <t>Order id = 864</t>
  </si>
  <si>
    <t>Order id = 865</t>
  </si>
  <si>
    <t>Order id = 866</t>
  </si>
  <si>
    <t>Order id = 867</t>
  </si>
  <si>
    <t>Order id = 868</t>
  </si>
  <si>
    <t>Order id = 869</t>
  </si>
  <si>
    <t>Order id = 870</t>
  </si>
  <si>
    <t>Order id = 871</t>
  </si>
  <si>
    <t>Order id = 872</t>
  </si>
  <si>
    <t>Order id = 873</t>
  </si>
  <si>
    <t>Order id = 874</t>
  </si>
  <si>
    <t>Order id = 875</t>
  </si>
  <si>
    <t>Order id = 876</t>
  </si>
  <si>
    <t>Order id = 877</t>
  </si>
  <si>
    <t>Order id = 878</t>
  </si>
  <si>
    <t>Order id = 879</t>
  </si>
  <si>
    <t>Order id = 880</t>
  </si>
  <si>
    <t>Order id = 881</t>
  </si>
  <si>
    <t>Order id = 882</t>
  </si>
  <si>
    <t>Order id = 883</t>
  </si>
  <si>
    <t>Order id = 884</t>
  </si>
  <si>
    <t>Order id = 885</t>
  </si>
  <si>
    <t>Order id = 886</t>
  </si>
  <si>
    <t>Order id = 887</t>
  </si>
  <si>
    <t>Order id = 888</t>
  </si>
  <si>
    <t>Order id = 889</t>
  </si>
  <si>
    <t>Order id = 890</t>
  </si>
  <si>
    <t>Order id = 891</t>
  </si>
  <si>
    <t>Order id = 892</t>
  </si>
  <si>
    <t>Order id = 893</t>
  </si>
  <si>
    <t>Order id = 894</t>
  </si>
  <si>
    <t>Order id = 895</t>
  </si>
  <si>
    <t>Order id = 896</t>
  </si>
  <si>
    <t>Order id = 897</t>
  </si>
  <si>
    <t>Order id = 898</t>
  </si>
  <si>
    <t>Order id = 899</t>
  </si>
  <si>
    <t>Order id = 900</t>
  </si>
  <si>
    <t>Order id = 901</t>
  </si>
  <si>
    <t>Order id = 902</t>
  </si>
  <si>
    <t>Order id = 903</t>
  </si>
  <si>
    <t>Order id = 904</t>
  </si>
  <si>
    <t>Order id = 905</t>
  </si>
  <si>
    <t>Order id = 906</t>
  </si>
  <si>
    <t>Order id = 907</t>
  </si>
  <si>
    <t>Order id = 908</t>
  </si>
  <si>
    <t>Order id = 909</t>
  </si>
  <si>
    <t>Order id = 910</t>
  </si>
  <si>
    <t>Order id = 911</t>
  </si>
  <si>
    <t>Order id = 912</t>
  </si>
  <si>
    <t>Order id = 913</t>
  </si>
  <si>
    <t>Order id = 914</t>
  </si>
  <si>
    <t>Order id = 915</t>
  </si>
  <si>
    <t>Order id = 916</t>
  </si>
  <si>
    <t>Order id = 917</t>
  </si>
  <si>
    <t>Order id = 918</t>
  </si>
  <si>
    <t>Order id = 919</t>
  </si>
  <si>
    <t>Order id = 920</t>
  </si>
  <si>
    <t>Order id = 921</t>
  </si>
  <si>
    <t>Order id = 922</t>
  </si>
  <si>
    <t>Order id = 923</t>
  </si>
  <si>
    <t>Order id = 924</t>
  </si>
  <si>
    <t>Order id = 925</t>
  </si>
  <si>
    <t>Order id = 926</t>
  </si>
  <si>
    <t>Order id = 927</t>
  </si>
  <si>
    <t>Order id = 928</t>
  </si>
  <si>
    <t>Order id = 929</t>
  </si>
  <si>
    <t>Order id = 930</t>
  </si>
  <si>
    <t>Order id = 931</t>
  </si>
  <si>
    <t>Order id = 932</t>
  </si>
  <si>
    <t>Order id = 933</t>
  </si>
  <si>
    <t>Order id = 934</t>
  </si>
  <si>
    <t>Order id = 935</t>
  </si>
  <si>
    <t>Order id = 936</t>
  </si>
  <si>
    <t>Order id = 937</t>
  </si>
  <si>
    <t>Order id = 938</t>
  </si>
  <si>
    <t>Order id = 939</t>
  </si>
  <si>
    <t>Order id = 940</t>
  </si>
  <si>
    <t>Order id = 941</t>
  </si>
  <si>
    <t>Order id = 942</t>
  </si>
  <si>
    <t>Order id = 943</t>
  </si>
  <si>
    <t>Order id = 944</t>
  </si>
  <si>
    <t>Order id = 945</t>
  </si>
  <si>
    <t>Order id = 946</t>
  </si>
  <si>
    <t>Order id = 947</t>
  </si>
  <si>
    <t>Order id = 948</t>
  </si>
  <si>
    <t>Order id = 949</t>
  </si>
  <si>
    <t>Order id = 950</t>
  </si>
  <si>
    <t>Order id = 951</t>
  </si>
  <si>
    <t>Order id = 952</t>
  </si>
  <si>
    <t>Order id = 953</t>
  </si>
  <si>
    <t>Order id = 954</t>
  </si>
  <si>
    <t>Order id = 955</t>
  </si>
  <si>
    <t>Order id = 956</t>
  </si>
  <si>
    <t>Order id = 957</t>
  </si>
  <si>
    <t>Order id = 958</t>
  </si>
  <si>
    <t>Order id = 959</t>
  </si>
  <si>
    <t>Order id = 960</t>
  </si>
  <si>
    <t>Order id = 961</t>
  </si>
  <si>
    <t>Order id = 962</t>
  </si>
  <si>
    <t>Order id = 963</t>
  </si>
  <si>
    <t>Order id = 964</t>
  </si>
  <si>
    <t>Order id = 965</t>
  </si>
  <si>
    <t>Order id = 966</t>
  </si>
  <si>
    <t>Order id = 967</t>
  </si>
  <si>
    <t>Order id = 968</t>
  </si>
  <si>
    <t>Order id = 969</t>
  </si>
  <si>
    <t>Order id = 970</t>
  </si>
  <si>
    <t>Order id = 971</t>
  </si>
  <si>
    <t>Order id = 972</t>
  </si>
  <si>
    <t>Order id = 973</t>
  </si>
  <si>
    <t>Order id = 974</t>
  </si>
  <si>
    <t>Order id = 975</t>
  </si>
  <si>
    <t>Order id = 976</t>
  </si>
  <si>
    <t>Order id = 977</t>
  </si>
  <si>
    <t>Order id = 978</t>
  </si>
  <si>
    <t>Order id = 979</t>
  </si>
  <si>
    <t>Order id = 980</t>
  </si>
  <si>
    <t>Order id = 981</t>
  </si>
  <si>
    <t>Order id = 982</t>
  </si>
  <si>
    <t>Order id = 983</t>
  </si>
  <si>
    <t>Order id = 984</t>
  </si>
  <si>
    <t>Order id = 985</t>
  </si>
  <si>
    <t>Order id = 986</t>
  </si>
  <si>
    <t>Order id = 987</t>
  </si>
  <si>
    <t>Order id = 988</t>
  </si>
  <si>
    <t>Order id = 989</t>
  </si>
  <si>
    <t>Order id = 990</t>
  </si>
  <si>
    <t>Order id = 991</t>
  </si>
  <si>
    <t>Order id = 992</t>
  </si>
  <si>
    <t>Order id = 993</t>
  </si>
  <si>
    <t>Order id = 994</t>
  </si>
  <si>
    <t>Order id = 995</t>
  </si>
  <si>
    <t>Order id = 996</t>
  </si>
  <si>
    <t>Order id = 997</t>
  </si>
  <si>
    <t>Order id = 998</t>
  </si>
  <si>
    <t>Order id = 999</t>
  </si>
  <si>
    <t>Order id = 1000</t>
  </si>
  <si>
    <t>Order id = 1001</t>
  </si>
  <si>
    <t>Order id = 1002</t>
  </si>
  <si>
    <t>Order id = 1003</t>
  </si>
  <si>
    <t>Order id = 1004</t>
  </si>
  <si>
    <t>Order id = 1005</t>
  </si>
  <si>
    <t>Order id = 1006</t>
  </si>
  <si>
    <t>Order id = 1007</t>
  </si>
  <si>
    <t>Order id = 1008</t>
  </si>
  <si>
    <t>Order id = 1009</t>
  </si>
  <si>
    <t>Order id = 1010</t>
  </si>
  <si>
    <t>Order id = 1011</t>
  </si>
  <si>
    <t>Order id = 1012</t>
  </si>
  <si>
    <t>Order id = 1013</t>
  </si>
  <si>
    <t>Order id = 1014</t>
  </si>
  <si>
    <t>Order id = 1015</t>
  </si>
  <si>
    <t>Order id = 1016</t>
  </si>
  <si>
    <t>Order id = 1017</t>
  </si>
  <si>
    <t>Order id = 1018</t>
  </si>
  <si>
    <t>Order id = 1019</t>
  </si>
  <si>
    <t>Order id = 1020</t>
  </si>
  <si>
    <t>Order id = 1021</t>
  </si>
  <si>
    <t>Order id = 1022</t>
  </si>
  <si>
    <t>Order id = 1023</t>
  </si>
  <si>
    <t>Order id = 1024</t>
  </si>
  <si>
    <t>Order id = 1025</t>
  </si>
  <si>
    <t>Order id = 1026</t>
  </si>
  <si>
    <t>Order id = 1027</t>
  </si>
  <si>
    <t>Order id = 1028</t>
  </si>
  <si>
    <t>Order id = 1029</t>
  </si>
  <si>
    <t>Order id = 1030</t>
  </si>
  <si>
    <t>Order id = 1031</t>
  </si>
  <si>
    <t>Order id = 1032</t>
  </si>
  <si>
    <t>Order id = 1033</t>
  </si>
  <si>
    <t>Order id = 1034</t>
  </si>
  <si>
    <t>Order id = 1035</t>
  </si>
  <si>
    <t>Order id = 1036</t>
  </si>
  <si>
    <t>Order id = 1037</t>
  </si>
  <si>
    <t>Order id = 1038</t>
  </si>
  <si>
    <t>Order id = 1039</t>
  </si>
  <si>
    <t>Order id = 1040</t>
  </si>
  <si>
    <t>Order id = 1041</t>
  </si>
  <si>
    <t>Order id = 1042</t>
  </si>
  <si>
    <t>Order id = 1043</t>
  </si>
  <si>
    <t>Order id = 1044</t>
  </si>
  <si>
    <t>Order id = 1045</t>
  </si>
  <si>
    <t>Order id = 1046</t>
  </si>
  <si>
    <t>Order id = 1047</t>
  </si>
  <si>
    <t>Order id = 1048</t>
  </si>
  <si>
    <t>Order id = 1049</t>
  </si>
  <si>
    <t>Order id = 1050</t>
  </si>
  <si>
    <t>Order id = 1051</t>
  </si>
  <si>
    <t>Order id = 1052</t>
  </si>
  <si>
    <t>Order id = 1053</t>
  </si>
  <si>
    <t>Order id = 1054</t>
  </si>
  <si>
    <t>Order id = 1055</t>
  </si>
  <si>
    <t>Order id = 1056</t>
  </si>
  <si>
    <t>Order id = 1057</t>
  </si>
  <si>
    <t>Order id = 1058</t>
  </si>
  <si>
    <t>Order id = 1059</t>
  </si>
  <si>
    <t>Order id = 1060</t>
  </si>
  <si>
    <t>Order id = 1061</t>
  </si>
  <si>
    <t>Order id = 1062</t>
  </si>
  <si>
    <t>Order id = 1063</t>
  </si>
  <si>
    <t>Order id = 1064</t>
  </si>
  <si>
    <t>Order id = 1065</t>
  </si>
  <si>
    <t>Order id = 1066</t>
  </si>
  <si>
    <t>Order id = 1067</t>
  </si>
  <si>
    <t>Order id = 1068</t>
  </si>
  <si>
    <t>Order id = 1069</t>
  </si>
  <si>
    <t>Order id = 1070</t>
  </si>
  <si>
    <t>Order id = 1071</t>
  </si>
  <si>
    <t>Order id = 1072</t>
  </si>
  <si>
    <t>Order id = 1073</t>
  </si>
  <si>
    <t>Order id = 1074</t>
  </si>
  <si>
    <t>Order id = 1075</t>
  </si>
  <si>
    <t>Order id = 1076</t>
  </si>
  <si>
    <t>Order id = 1077</t>
  </si>
  <si>
    <t>Order id = 1078</t>
  </si>
  <si>
    <t>Order id = 1079</t>
  </si>
  <si>
    <t>Order id = 1080</t>
  </si>
  <si>
    <t>Order id = 1081</t>
  </si>
  <si>
    <t>Order id = 1082</t>
  </si>
  <si>
    <t>Order id = 1083</t>
  </si>
  <si>
    <t>Order id = 1084</t>
  </si>
  <si>
    <t>Order id = 1085</t>
  </si>
  <si>
    <t>Order id = 1086</t>
  </si>
  <si>
    <t>Order id = 1087</t>
  </si>
  <si>
    <t>Order id = 1088</t>
  </si>
  <si>
    <t>Order id = 1089</t>
  </si>
  <si>
    <t>Order id = 1090</t>
  </si>
  <si>
    <t>Order id = 1091</t>
  </si>
  <si>
    <t>Order id = 1092</t>
  </si>
  <si>
    <t>Order id = 1093</t>
  </si>
  <si>
    <t>Order id = 1094</t>
  </si>
  <si>
    <t>Order id = 1095</t>
  </si>
  <si>
    <t>Order id = 1096</t>
  </si>
  <si>
    <t>Order id = 1097</t>
  </si>
  <si>
    <t>Order id = 1098</t>
  </si>
  <si>
    <t>Order id = 1099</t>
  </si>
  <si>
    <t>Order id = 1100</t>
  </si>
  <si>
    <t>Order id = 1101</t>
  </si>
  <si>
    <t>Order id = 1102</t>
  </si>
  <si>
    <t>Order id = 1103</t>
  </si>
  <si>
    <t>Order id = 1104</t>
  </si>
  <si>
    <t>Order id = 1105</t>
  </si>
  <si>
    <t>Order id = 1106</t>
  </si>
  <si>
    <t>Order id = 1107</t>
  </si>
  <si>
    <t>Order id = 1108</t>
  </si>
  <si>
    <t>Order id = 1109</t>
  </si>
  <si>
    <t>Order id = 1110</t>
  </si>
  <si>
    <t>Order id = 1111</t>
  </si>
  <si>
    <t>Order id = 1112</t>
  </si>
  <si>
    <t>Order id = 1113</t>
  </si>
  <si>
    <t>Order id = 1114</t>
  </si>
  <si>
    <t>Order id = 1115</t>
  </si>
  <si>
    <t>Order id = 1116</t>
  </si>
  <si>
    <t>Order id = 1117</t>
  </si>
  <si>
    <t>Order id = 1118</t>
  </si>
  <si>
    <t>Order id = 1119</t>
  </si>
  <si>
    <t>Order id = 1120</t>
  </si>
  <si>
    <t>Order id = 1121</t>
  </si>
  <si>
    <t>Order id = 1122</t>
  </si>
  <si>
    <t>Order id = 1123</t>
  </si>
  <si>
    <t>Order id = 1124</t>
  </si>
  <si>
    <t>Order id = 1125</t>
  </si>
  <si>
    <t>Order id = 1126</t>
  </si>
  <si>
    <t>Order id = 1127</t>
  </si>
  <si>
    <t>Order id = 1128</t>
  </si>
  <si>
    <t>Order id = 1129</t>
  </si>
  <si>
    <t>Order id = 1130</t>
  </si>
  <si>
    <t>Order id = 1131</t>
  </si>
  <si>
    <t>Order id = 1132</t>
  </si>
  <si>
    <t>Order id = 1133</t>
  </si>
  <si>
    <t>Order id = 1134</t>
  </si>
  <si>
    <t>Order id = 1135</t>
  </si>
  <si>
    <t>Order id = 1136</t>
  </si>
  <si>
    <t>Order id = 1137</t>
  </si>
  <si>
    <t>Order id = 1138</t>
  </si>
  <si>
    <t>Order id = 1139</t>
  </si>
  <si>
    <t>Order id = 1140</t>
  </si>
  <si>
    <t>Order id = 1141</t>
  </si>
  <si>
    <t>Order id = 1142</t>
  </si>
  <si>
    <t>Order id = 1143</t>
  </si>
  <si>
    <t>Order id = 1144</t>
  </si>
  <si>
    <t>Order id = 1145</t>
  </si>
  <si>
    <t>Order id = 1146</t>
  </si>
  <si>
    <t>Order id = 1147</t>
  </si>
  <si>
    <t>Order id = 1148</t>
  </si>
  <si>
    <t>Order id = 1149</t>
  </si>
  <si>
    <t>Order id = 1150</t>
  </si>
  <si>
    <t>Order id = 1151</t>
  </si>
  <si>
    <t>Order id = 1152</t>
  </si>
  <si>
    <t>Order id = 1153</t>
  </si>
  <si>
    <t>Order id = 1154</t>
  </si>
  <si>
    <t>Order id = 1155</t>
  </si>
  <si>
    <t>Order id = 1156</t>
  </si>
  <si>
    <t>Order id = 1157</t>
  </si>
  <si>
    <t>Order id = 1158</t>
  </si>
  <si>
    <t>Order id = 1159</t>
  </si>
  <si>
    <t>Order id = 1160</t>
  </si>
  <si>
    <t>Order id = 1161</t>
  </si>
  <si>
    <t>Order id = 1162</t>
  </si>
  <si>
    <t>Order id = 1163</t>
  </si>
  <si>
    <t>Order id = 1164</t>
  </si>
  <si>
    <t>Order id = 1165</t>
  </si>
  <si>
    <t>Order id = 1166</t>
  </si>
  <si>
    <t>Order id = 1167</t>
  </si>
  <si>
    <t>Order id = 1168</t>
  </si>
  <si>
    <t>Order id = 1169</t>
  </si>
  <si>
    <t>Order id = 1170</t>
  </si>
  <si>
    <t>Order id = 1171</t>
  </si>
  <si>
    <t>Order id = 1172</t>
  </si>
  <si>
    <t>Order id = 1173</t>
  </si>
  <si>
    <t>Order id = 1174</t>
  </si>
  <si>
    <t>Order id = 1175</t>
  </si>
  <si>
    <t>Order id = 1176</t>
  </si>
  <si>
    <t>Order id = 1177</t>
  </si>
  <si>
    <t>Order id = 1178</t>
  </si>
  <si>
    <t>Order id = 1179</t>
  </si>
  <si>
    <t>Order id = 1180</t>
  </si>
  <si>
    <t>Order id = 1181</t>
  </si>
  <si>
    <t>Order id = 1182</t>
  </si>
  <si>
    <t>Order id = 1183</t>
  </si>
  <si>
    <t>Order id = 1184</t>
  </si>
  <si>
    <t>Order id = 1185</t>
  </si>
  <si>
    <t>Order id = 1186</t>
  </si>
  <si>
    <t>Order id = 1187</t>
  </si>
  <si>
    <t>Order id = 1188</t>
  </si>
  <si>
    <t>Order id = 1189</t>
  </si>
  <si>
    <t>Order id = 1190</t>
  </si>
  <si>
    <t>Order id = 1191</t>
  </si>
  <si>
    <t>Order id = 1192</t>
  </si>
  <si>
    <t>Order id = 1193</t>
  </si>
  <si>
    <t>Order id = 1194</t>
  </si>
  <si>
    <t>Order id = 1195</t>
  </si>
  <si>
    <t>Order id = 1196</t>
  </si>
  <si>
    <t>Order id = 1197</t>
  </si>
  <si>
    <t>Order id = 1198</t>
  </si>
  <si>
    <t>Order id = 1199</t>
  </si>
  <si>
    <t>Order id = 1200</t>
  </si>
  <si>
    <t>Order id = 1201</t>
  </si>
  <si>
    <t>Order id = 1202</t>
  </si>
  <si>
    <t>Order id = 1203</t>
  </si>
  <si>
    <t>Order id = 1204</t>
  </si>
  <si>
    <t>Order id = 1205</t>
  </si>
  <si>
    <t>Order id = 1206</t>
  </si>
  <si>
    <t>Order id = 1207</t>
  </si>
  <si>
    <t>Order id = 1208</t>
  </si>
  <si>
    <t>Order id = 1209</t>
  </si>
  <si>
    <t>Order id = 1210</t>
  </si>
  <si>
    <t>Order id = 1211</t>
  </si>
  <si>
    <t>Order id = 1212</t>
  </si>
  <si>
    <t>Order id = 1213</t>
  </si>
  <si>
    <t>Order id = 1214</t>
  </si>
  <si>
    <t>Order id = 1215</t>
  </si>
  <si>
    <t>Order id = 1216</t>
  </si>
  <si>
    <t>Order id = 1217</t>
  </si>
  <si>
    <t>Order id = 1218</t>
  </si>
  <si>
    <t>Order id = 1219</t>
  </si>
  <si>
    <t>Order id = 1220</t>
  </si>
  <si>
    <t>Order id = 1221</t>
  </si>
  <si>
    <t>Order id = 1222</t>
  </si>
  <si>
    <t>Order id = 1223</t>
  </si>
  <si>
    <t>Order id = 1224</t>
  </si>
  <si>
    <t>Order id = 1225</t>
  </si>
  <si>
    <t>Order id = 1226</t>
  </si>
  <si>
    <t>Order id = 1227</t>
  </si>
  <si>
    <t>Order id = 1228</t>
  </si>
  <si>
    <t>Order id = 1229</t>
  </si>
  <si>
    <t>Order id = 1230</t>
  </si>
  <si>
    <t>Order id = 1231</t>
  </si>
  <si>
    <t>Order id = 1232</t>
  </si>
  <si>
    <t>Order id = 1233</t>
  </si>
  <si>
    <t>Order id = 1234</t>
  </si>
  <si>
    <t>Order id = 1235</t>
  </si>
  <si>
    <t>Order id = 1236</t>
  </si>
  <si>
    <t>Order id = 1237</t>
  </si>
  <si>
    <t>Order id = 1238</t>
  </si>
  <si>
    <t>Order id = 1239</t>
  </si>
  <si>
    <t>Order id = 1240</t>
  </si>
  <si>
    <t>Order id = 1241</t>
  </si>
  <si>
    <t>Order id = 1242</t>
  </si>
  <si>
    <t>Order id = 1243</t>
  </si>
  <si>
    <t>Order id = 1244</t>
  </si>
  <si>
    <t>Order id = 1245</t>
  </si>
  <si>
    <t>Order id = 1246</t>
  </si>
  <si>
    <t>Order id = 1247</t>
  </si>
  <si>
    <t>Order id = 1248</t>
  </si>
  <si>
    <t>Order id = 1249</t>
  </si>
  <si>
    <t>Order id = 1250</t>
  </si>
  <si>
    <t>Order id = 1251</t>
  </si>
  <si>
    <t>Order id = 1252</t>
  </si>
  <si>
    <t>Order id = 1253</t>
  </si>
  <si>
    <t>Order id = 1254</t>
  </si>
  <si>
    <t>Order id = 1255</t>
  </si>
  <si>
    <t>Order id = 1256</t>
  </si>
  <si>
    <t>Order id = 1257</t>
  </si>
  <si>
    <t>Order id = 1258</t>
  </si>
  <si>
    <t>Order id = 1259</t>
  </si>
  <si>
    <t>Order id = 1260</t>
  </si>
  <si>
    <t>Order id = 1261</t>
  </si>
  <si>
    <t>Order id = 1262</t>
  </si>
  <si>
    <t>Order id = 1263</t>
  </si>
  <si>
    <t>Order id = 1264</t>
  </si>
  <si>
    <t>Order id = 1265</t>
  </si>
  <si>
    <t>Order id = 1266</t>
  </si>
  <si>
    <t>Order id = 1267</t>
  </si>
  <si>
    <t>Order id = 1268</t>
  </si>
  <si>
    <t>Order id = 1269</t>
  </si>
  <si>
    <t>Order id = 1270</t>
  </si>
  <si>
    <t>Order id = 1271</t>
  </si>
  <si>
    <t>Order id = 1272</t>
  </si>
  <si>
    <t>Order id = 1273</t>
  </si>
  <si>
    <t>Order id = 1274</t>
  </si>
  <si>
    <t>Order id = 1275</t>
  </si>
  <si>
    <t>Order id = 1276</t>
  </si>
  <si>
    <t>Order id = 1277</t>
  </si>
  <si>
    <t>Order id = 1278</t>
  </si>
  <si>
    <t>Order id = 1279</t>
  </si>
  <si>
    <t>Order id = 1280</t>
  </si>
  <si>
    <t>Order id = 1281</t>
  </si>
  <si>
    <t>Order id = 1282</t>
  </si>
  <si>
    <t>Order id = 1283</t>
  </si>
  <si>
    <t>Order id = 1284</t>
  </si>
  <si>
    <t>Order id = 1285</t>
  </si>
  <si>
    <t>Order id = 1286</t>
  </si>
  <si>
    <t>Order id = 1287</t>
  </si>
  <si>
    <t>Order id = 1288</t>
  </si>
  <si>
    <t>Order id = 1289</t>
  </si>
  <si>
    <t>Order id = 1290</t>
  </si>
  <si>
    <t>Order id = 1291</t>
  </si>
  <si>
    <t>Order id = 1292</t>
  </si>
  <si>
    <t>Order id = 1293</t>
  </si>
  <si>
    <t>Order id = 1294</t>
  </si>
  <si>
    <t>Order id = 1295</t>
  </si>
  <si>
    <t>Order id = 1296</t>
  </si>
  <si>
    <t>Order id = 1297</t>
  </si>
  <si>
    <t>Order id = 1298</t>
  </si>
  <si>
    <t>Order id = 1299</t>
  </si>
  <si>
    <t>Order id = 1300</t>
  </si>
  <si>
    <t>1.Total Orders</t>
  </si>
  <si>
    <t>2. Total Sales</t>
  </si>
  <si>
    <t>3. Total Commission</t>
  </si>
  <si>
    <t>4. Net Sales</t>
  </si>
  <si>
    <t>Row Labels</t>
  </si>
  <si>
    <t>Grand Total</t>
  </si>
  <si>
    <t>Count of Order Id</t>
  </si>
  <si>
    <t>Sum of Total sales</t>
  </si>
  <si>
    <t>Sum of Total Commission</t>
  </si>
  <si>
    <t>1. total orders by day</t>
  </si>
  <si>
    <t>2. Total QTY Sold Per Product</t>
  </si>
  <si>
    <t>Sum of Quantity</t>
  </si>
  <si>
    <t>3. total sales by sales representative</t>
  </si>
  <si>
    <t>4. total commission by sales representative</t>
  </si>
  <si>
    <t>5. total orders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</si>
</sst>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[salesorderanalysis.xlsx]Chart!PivotTable16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Chart!$D$5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Chart!$C$6:$C$37</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Chart!$D$6:$D$37</c:f>
              <c:numCache>
                <c:formatCode>General</c:formatCode>
                <c:ptCount val="31"/>
                <c:pt idx="0">
                  <c:v>39</c:v>
                </c:pt>
                <c:pt idx="1">
                  <c:v>33</c:v>
                </c:pt>
                <c:pt idx="2">
                  <c:v>36</c:v>
                </c:pt>
                <c:pt idx="3">
                  <c:v>35</c:v>
                </c:pt>
                <c:pt idx="4">
                  <c:v>42</c:v>
                </c:pt>
                <c:pt idx="5">
                  <c:v>47</c:v>
                </c:pt>
                <c:pt idx="6">
                  <c:v>53</c:v>
                </c:pt>
                <c:pt idx="7">
                  <c:v>50</c:v>
                </c:pt>
                <c:pt idx="8">
                  <c:v>38</c:v>
                </c:pt>
                <c:pt idx="9">
                  <c:v>50</c:v>
                </c:pt>
                <c:pt idx="10">
                  <c:v>43</c:v>
                </c:pt>
                <c:pt idx="11">
                  <c:v>30</c:v>
                </c:pt>
                <c:pt idx="12">
                  <c:v>48</c:v>
                </c:pt>
                <c:pt idx="13">
                  <c:v>46</c:v>
                </c:pt>
                <c:pt idx="14">
                  <c:v>45</c:v>
                </c:pt>
                <c:pt idx="15">
                  <c:v>48</c:v>
                </c:pt>
                <c:pt idx="16">
                  <c:v>48</c:v>
                </c:pt>
                <c:pt idx="17">
                  <c:v>41</c:v>
                </c:pt>
                <c:pt idx="18">
                  <c:v>44</c:v>
                </c:pt>
                <c:pt idx="19">
                  <c:v>34</c:v>
                </c:pt>
                <c:pt idx="20">
                  <c:v>47</c:v>
                </c:pt>
                <c:pt idx="21">
                  <c:v>38</c:v>
                </c:pt>
                <c:pt idx="22">
                  <c:v>39</c:v>
                </c:pt>
                <c:pt idx="23">
                  <c:v>46</c:v>
                </c:pt>
                <c:pt idx="24">
                  <c:v>49</c:v>
                </c:pt>
                <c:pt idx="25">
                  <c:v>47</c:v>
                </c:pt>
                <c:pt idx="26">
                  <c:v>52</c:v>
                </c:pt>
                <c:pt idx="27">
                  <c:v>37</c:v>
                </c:pt>
                <c:pt idx="28">
                  <c:v>42</c:v>
                </c:pt>
                <c:pt idx="29">
                  <c:v>28</c:v>
                </c:pt>
                <c:pt idx="30">
                  <c:v>25</c:v>
                </c:pt>
              </c:numCache>
            </c:numRef>
          </c:val>
          <c:smooth val="0"/>
          <c:extLst>
            <c:ext xmlns:c16="http://schemas.microsoft.com/office/drawing/2014/chart" uri="{C3380CC4-5D6E-409C-BE32-E72D297353CC}">
              <c16:uniqueId val="{00000000-1BEC-49A6-9D1A-D6E0221E06E5}"/>
            </c:ext>
          </c:extLst>
        </c:ser>
        <c:dLbls>
          <c:dLblPos val="t"/>
          <c:showLegendKey val="0"/>
          <c:showVal val="1"/>
          <c:showCatName val="0"/>
          <c:showSerName val="0"/>
          <c:showPercent val="0"/>
          <c:showBubbleSize val="0"/>
        </c:dLbls>
        <c:marker val="1"/>
        <c:smooth val="0"/>
        <c:axId val="1605340847"/>
        <c:axId val="1632802383"/>
      </c:lineChart>
      <c:catAx>
        <c:axId val="160534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802383"/>
        <c:crosses val="autoZero"/>
        <c:auto val="1"/>
        <c:lblAlgn val="ctr"/>
        <c:lblOffset val="100"/>
        <c:noMultiLvlLbl val="0"/>
      </c:catAx>
      <c:valAx>
        <c:axId val="163280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3408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[salesorderanalysis.xlsx]Chart!PivotTable17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QTY Sold Per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Chart!$D$42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8BF-4CFA-A74C-77DA4CBF1F1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8BF-4CFA-A74C-77DA4CBF1F1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8BF-4CFA-A74C-77DA4CBF1F1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8BF-4CFA-A74C-77DA4CBF1F1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8BF-4CFA-A74C-77DA4CBF1F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Chart!$C$43:$C$48</c:f>
              <c:strCache>
                <c:ptCount val="5"/>
                <c:pt idx="0">
                  <c:v>Diary</c:v>
                </c:pt>
                <c:pt idx="1">
                  <c:v>Office Chair</c:v>
                </c:pt>
                <c:pt idx="2">
                  <c:v>Printer</c:v>
                </c:pt>
                <c:pt idx="3">
                  <c:v>Projector</c:v>
                </c:pt>
                <c:pt idx="4">
                  <c:v>White Board</c:v>
                </c:pt>
              </c:strCache>
            </c:strRef>
          </c:cat>
          <c:val>
            <c:numRef>
              <c:f>Chart!$D$43:$D$48</c:f>
              <c:numCache>
                <c:formatCode>General</c:formatCode>
                <c:ptCount val="5"/>
                <c:pt idx="0">
                  <c:v>3071</c:v>
                </c:pt>
                <c:pt idx="1">
                  <c:v>2648</c:v>
                </c:pt>
                <c:pt idx="2">
                  <c:v>3823</c:v>
                </c:pt>
                <c:pt idx="3">
                  <c:v>3067</c:v>
                </c:pt>
                <c:pt idx="4">
                  <c:v>4027</c:v>
                </c:pt>
              </c:numCache>
            </c:numRef>
          </c:val>
          <c:extLst>
            <c:ext xmlns:c16="http://schemas.microsoft.com/office/drawing/2014/chart" uri="{C3380CC4-5D6E-409C-BE32-E72D297353CC}">
              <c16:uniqueId val="{00000000-79D8-4535-ACB6-E395335E13D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[salesorderanalysis.xlsx]Chart!PivotTable18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&amp; Total Commission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Chart!$D$56</c:f>
              <c:strCache>
                <c:ptCount val="1"/>
                <c:pt idx="0">
                  <c:v>Sum of Total sales</c:v>
                </c:pt>
              </c:strCache>
            </c:strRef>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Chart!$C$57:$C$62</c:f>
              <c:strCache>
                <c:ptCount val="5"/>
                <c:pt idx="0">
                  <c:v>Bob</c:v>
                </c:pt>
                <c:pt idx="1">
                  <c:v>John</c:v>
                </c:pt>
                <c:pt idx="2">
                  <c:v>Laura</c:v>
                </c:pt>
                <c:pt idx="3">
                  <c:v>Mark</c:v>
                </c:pt>
                <c:pt idx="4">
                  <c:v>Stacey</c:v>
                </c:pt>
              </c:strCache>
            </c:strRef>
          </c:cat>
          <c:val>
            <c:numRef>
              <c:f>Chart!$D$57:$D$62</c:f>
              <c:numCache>
                <c:formatCode>General</c:formatCode>
                <c:ptCount val="5"/>
                <c:pt idx="0">
                  <c:v>306530</c:v>
                </c:pt>
                <c:pt idx="1">
                  <c:v>320220</c:v>
                </c:pt>
                <c:pt idx="2">
                  <c:v>307656</c:v>
                </c:pt>
                <c:pt idx="3">
                  <c:v>321258</c:v>
                </c:pt>
                <c:pt idx="4">
                  <c:v>329482</c:v>
                </c:pt>
              </c:numCache>
            </c:numRef>
          </c:val>
          <c:extLst>
            <c:ext xmlns:c16="http://schemas.microsoft.com/office/drawing/2014/chart" uri="{C3380CC4-5D6E-409C-BE32-E72D297353CC}">
              <c16:uniqueId val="{00000000-FB80-4526-80B8-7B13FEC06FA2}"/>
            </c:ext>
          </c:extLst>
        </c:ser>
        <c:dLbls>
          <c:dLblPos val="outEnd"/>
          <c:showLegendKey val="0"/>
          <c:showVal val="1"/>
          <c:showCatName val="0"/>
          <c:showSerName val="0"/>
          <c:showPercent val="0"/>
          <c:showBubbleSize val="0"/>
        </c:dLbls>
        <c:gapWidth val="219"/>
        <c:axId val="1550887791"/>
        <c:axId val="1550895471"/>
      </c:barChart>
      <c:lineChart>
        <c:grouping val="standard"/>
        <c:varyColors val="0"/>
        <c:ser>
          <c:idx val="1"/>
          <c:order val="1"/>
          <c:tx>
            <c:strRef>
              <c:f>Chart!$E$56</c:f>
              <c:strCache>
                <c:ptCount val="1"/>
                <c:pt idx="0">
                  <c:v>Sum of Total Commission</c:v>
                </c:pt>
              </c:strCache>
            </c:strRef>
          </c:tx>
          <c:spPr>
            <a:ln w="28575" cap="rnd">
              <a:solidFill>
                <a:schemeClr val="accent2"/>
              </a:solidFill>
              <a:round/>
            </a:ln>
            <a:effectLst/>
          </c:spPr>
          <c:marker>
            <c:symbol val="none"/>
          </c:marker>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Chart!$C$57:$C$62</c:f>
              <c:strCache>
                <c:ptCount val="5"/>
                <c:pt idx="0">
                  <c:v>Bob</c:v>
                </c:pt>
                <c:pt idx="1">
                  <c:v>John</c:v>
                </c:pt>
                <c:pt idx="2">
                  <c:v>Laura</c:v>
                </c:pt>
                <c:pt idx="3">
                  <c:v>Mark</c:v>
                </c:pt>
                <c:pt idx="4">
                  <c:v>Stacey</c:v>
                </c:pt>
              </c:strCache>
            </c:strRef>
          </c:cat>
          <c:val>
            <c:numRef>
              <c:f>Chart!$E$57:$E$62</c:f>
              <c:numCache>
                <c:formatCode>General</c:formatCode>
                <c:ptCount val="5"/>
                <c:pt idx="0">
                  <c:v>23576.700000000012</c:v>
                </c:pt>
                <c:pt idx="1">
                  <c:v>17874.340000000018</c:v>
                </c:pt>
                <c:pt idx="2">
                  <c:v>17621.360000000004</c:v>
                </c:pt>
                <c:pt idx="3">
                  <c:v>21012.360000000004</c:v>
                </c:pt>
                <c:pt idx="4">
                  <c:v>20075.480000000003</c:v>
                </c:pt>
              </c:numCache>
            </c:numRef>
          </c:val>
          <c:smooth val="0"/>
          <c:extLst>
            <c:ext xmlns:c16="http://schemas.microsoft.com/office/drawing/2014/chart" uri="{C3380CC4-5D6E-409C-BE32-E72D297353CC}">
              <c16:uniqueId val="{00000002-FB80-4526-80B8-7B13FEC06FA2}"/>
            </c:ext>
          </c:extLst>
        </c:ser>
        <c:dLbls>
          <c:showLegendKey val="0"/>
          <c:showVal val="0"/>
          <c:showCatName val="0"/>
          <c:showSerName val="0"/>
          <c:showPercent val="0"/>
          <c:showBubbleSize val="0"/>
        </c:dLbls>
        <c:marker val="1"/>
        <c:smooth val="0"/>
        <c:axId val="1550886351"/>
        <c:axId val="1550887311"/>
      </c:lineChart>
      <c:catAx>
        <c:axId val="155088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87311"/>
        <c:crosses val="autoZero"/>
        <c:auto val="1"/>
        <c:lblAlgn val="ctr"/>
        <c:lblOffset val="100"/>
        <c:noMultiLvlLbl val="0"/>
      </c:catAx>
      <c:valAx>
        <c:axId val="155088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86351"/>
        <c:crosses val="autoZero"/>
        <c:crossBetween val="between"/>
      </c:valAx>
      <c:valAx>
        <c:axId val="15508954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87791"/>
        <c:crosses val="max"/>
        <c:crossBetween val="between"/>
      </c:valAx>
      <c:catAx>
        <c:axId val="1550887791"/>
        <c:scaling>
          <c:orientation val="minMax"/>
        </c:scaling>
        <c:delete val="1"/>
        <c:axPos val="b"/>
        <c:numFmt formatCode="General" sourceLinked="1"/>
        <c:majorTickMark val="out"/>
        <c:minorTickMark val="none"/>
        <c:tickLblPos val="nextTo"/>
        <c:crossAx val="15508954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[salesorderanalysis.xlsx]Chart!PivotTable16</c:name>
    <c:fmtId val="13"/>
  </c:pivotSource>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Total Orders By Day</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Chart!$D$5</c:f>
              <c:strCache>
                <c:ptCount val="1"/>
                <c:pt idx="0">
                  <c:v>Total</c:v>
                </c:pt>
              </c:strCache>
            </c:strRef>
          </c:tx>
          <c:spPr>
            <a:ln w="28575" cap="rnd">
              <a:solidFill>
                <a:srgbClr val="FF0000"/>
              </a:solidFill>
              <a:round/>
            </a:ln>
            <a:effectLst/>
          </c:spPr>
          <c:marker>
            <c:symbol val="circle"/>
            <c:size val="5"/>
            <c:spPr>
              <a:solidFill>
                <a:schemeClr val="dk1">
                  <a:tint val="88500"/>
                </a:schemeClr>
              </a:solidFill>
              <a:ln w="9525">
                <a:solidFill>
                  <a:schemeClr val="dk1">
                    <a:tint val="88500"/>
                  </a:schemeClr>
                </a:solidFill>
              </a:ln>
              <a:effectLst/>
            </c:spPr>
          </c:marker>
          <c:dLbls>
            <c:spPr>
              <a:no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Chart!$C$6:$C$37</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Chart!$D$6:$D$37</c:f>
              <c:numCache>
                <c:formatCode>General</c:formatCode>
                <c:ptCount val="31"/>
                <c:pt idx="0">
                  <c:v>39</c:v>
                </c:pt>
                <c:pt idx="1">
                  <c:v>33</c:v>
                </c:pt>
                <c:pt idx="2">
                  <c:v>36</c:v>
                </c:pt>
                <c:pt idx="3">
                  <c:v>35</c:v>
                </c:pt>
                <c:pt idx="4">
                  <c:v>42</c:v>
                </c:pt>
                <c:pt idx="5">
                  <c:v>47</c:v>
                </c:pt>
                <c:pt idx="6">
                  <c:v>53</c:v>
                </c:pt>
                <c:pt idx="7">
                  <c:v>50</c:v>
                </c:pt>
                <c:pt idx="8">
                  <c:v>38</c:v>
                </c:pt>
                <c:pt idx="9">
                  <c:v>50</c:v>
                </c:pt>
                <c:pt idx="10">
                  <c:v>43</c:v>
                </c:pt>
                <c:pt idx="11">
                  <c:v>30</c:v>
                </c:pt>
                <c:pt idx="12">
                  <c:v>48</c:v>
                </c:pt>
                <c:pt idx="13">
                  <c:v>46</c:v>
                </c:pt>
                <c:pt idx="14">
                  <c:v>45</c:v>
                </c:pt>
                <c:pt idx="15">
                  <c:v>48</c:v>
                </c:pt>
                <c:pt idx="16">
                  <c:v>48</c:v>
                </c:pt>
                <c:pt idx="17">
                  <c:v>41</c:v>
                </c:pt>
                <c:pt idx="18">
                  <c:v>44</c:v>
                </c:pt>
                <c:pt idx="19">
                  <c:v>34</c:v>
                </c:pt>
                <c:pt idx="20">
                  <c:v>47</c:v>
                </c:pt>
                <c:pt idx="21">
                  <c:v>38</c:v>
                </c:pt>
                <c:pt idx="22">
                  <c:v>39</c:v>
                </c:pt>
                <c:pt idx="23">
                  <c:v>46</c:v>
                </c:pt>
                <c:pt idx="24">
                  <c:v>49</c:v>
                </c:pt>
                <c:pt idx="25">
                  <c:v>47</c:v>
                </c:pt>
                <c:pt idx="26">
                  <c:v>52</c:v>
                </c:pt>
                <c:pt idx="27">
                  <c:v>37</c:v>
                </c:pt>
                <c:pt idx="28">
                  <c:v>42</c:v>
                </c:pt>
                <c:pt idx="29">
                  <c:v>28</c:v>
                </c:pt>
                <c:pt idx="30">
                  <c:v>25</c:v>
                </c:pt>
              </c:numCache>
            </c:numRef>
          </c:val>
          <c:smooth val="0"/>
          <c:extLst>
            <c:ext xmlns:c16="http://schemas.microsoft.com/office/drawing/2014/chart" uri="{C3380CC4-5D6E-409C-BE32-E72D297353CC}">
              <c16:uniqueId val="{00000000-F90B-4227-B72A-49F613827BEB}"/>
            </c:ext>
          </c:extLst>
        </c:ser>
        <c:dLbls>
          <c:dLblPos val="t"/>
          <c:showLegendKey val="0"/>
          <c:showVal val="1"/>
          <c:showCatName val="0"/>
          <c:showSerName val="0"/>
          <c:showPercent val="0"/>
          <c:showBubbleSize val="0"/>
        </c:dLbls>
        <c:marker val="1"/>
        <c:smooth val="0"/>
        <c:axId val="1605340847"/>
        <c:axId val="1632802383"/>
      </c:lineChart>
      <c:catAx>
        <c:axId val="160534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crossAx val="1632802383"/>
        <c:crosses val="autoZero"/>
        <c:auto val="1"/>
        <c:lblAlgn val="ctr"/>
        <c:lblOffset val="100"/>
        <c:noMultiLvlLbl val="0"/>
      </c:catAx>
      <c:valAx>
        <c:axId val="163280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crossAx val="1605340847"/>
        <c:crosses val="autoZero"/>
        <c:crossBetween val="between"/>
      </c:valAx>
      <c:spPr>
        <a:solidFill>
          <a:schemeClr val="accent2">
            <a:lumMod val="60000"/>
            <a:lumOff val="4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38100" cap="flat" cmpd="sng" algn="ctr">
      <a:solidFill>
        <a:schemeClr val="accent2">
          <a:lumMod val="50000"/>
        </a:schemeClr>
      </a:solidFill>
      <a:round/>
    </a:ln>
    <a:effectLst/>
  </c:spPr>
  <c:txPr>
    <a:bodyPr/>
    <a:lstStyle/>
    <a:p>
      <a:pPr algn="ctr" rtl="0">
        <a:defRPr lang="en-US" sz="1100" b="1" i="0" u="none" strike="noStrike" kern="1200" spc="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[salesorderanalysis.xlsx]Chart!PivotTable17</c:name>
    <c:fmtId val="5"/>
  </c:pivotSource>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Total QTY Sold Per Product</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19050">
            <a:solidFill>
              <a:schemeClr val="lt1"/>
            </a:solidFill>
          </a:ln>
          <a:effectLst/>
          <a:sp3d contourW="25400">
            <a:contourClr>
              <a:schemeClr val="lt1"/>
            </a:contourClr>
          </a:sp3d>
        </c:spPr>
      </c:pivotFmt>
      <c:pivotFmt>
        <c:idx val="6"/>
        <c:spPr>
          <a:solidFill>
            <a:schemeClr val="accent1"/>
          </a:solidFill>
          <a:ln w="1905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Chart!$D$42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D08-468D-A020-888ED43E929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D08-468D-A020-888ED43E929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D08-468D-A020-888ED43E929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D08-468D-A020-888ED43E929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D08-468D-A020-888ED43E9293}"/>
              </c:ext>
            </c:extLst>
          </c:dPt>
          <c:dLbls>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Chart!$C$43:$C$48</c:f>
              <c:strCache>
                <c:ptCount val="5"/>
                <c:pt idx="0">
                  <c:v>Diary</c:v>
                </c:pt>
                <c:pt idx="1">
                  <c:v>Office Chair</c:v>
                </c:pt>
                <c:pt idx="2">
                  <c:v>Printer</c:v>
                </c:pt>
                <c:pt idx="3">
                  <c:v>Projector</c:v>
                </c:pt>
                <c:pt idx="4">
                  <c:v>White Board</c:v>
                </c:pt>
              </c:strCache>
            </c:strRef>
          </c:cat>
          <c:val>
            <c:numRef>
              <c:f>Chart!$D$43:$D$48</c:f>
              <c:numCache>
                <c:formatCode>General</c:formatCode>
                <c:ptCount val="5"/>
                <c:pt idx="0">
                  <c:v>3071</c:v>
                </c:pt>
                <c:pt idx="1">
                  <c:v>2648</c:v>
                </c:pt>
                <c:pt idx="2">
                  <c:v>3823</c:v>
                </c:pt>
                <c:pt idx="3">
                  <c:v>3067</c:v>
                </c:pt>
                <c:pt idx="4">
                  <c:v>4027</c:v>
                </c:pt>
              </c:numCache>
            </c:numRef>
          </c:val>
          <c:extLst>
            <c:ext xmlns:c16="http://schemas.microsoft.com/office/drawing/2014/chart" uri="{C3380CC4-5D6E-409C-BE32-E72D297353CC}">
              <c16:uniqueId val="{0000000A-CD08-468D-A020-888ED43E929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38100" cap="flat" cmpd="sng" algn="ctr">
      <a:solidFill>
        <a:schemeClr val="accent2">
          <a:lumMod val="50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[salesorderanalysis.xlsx]Chart!PivotTable18</c:name>
    <c:fmtId val="9"/>
  </c:pivotSource>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Total Sales &amp; Total Commission By Sales Rep</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solidFill>
              <a:srgbClr val="FFFF00"/>
            </a:solid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solidFill>
              <a:schemeClr val="accent2">
                <a:lumMod val="60000"/>
                <a:lumOff val="40000"/>
              </a:schemeClr>
            </a:solid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Chart!$D$56</c:f>
              <c:strCache>
                <c:ptCount val="1"/>
                <c:pt idx="0">
                  <c:v>Sum of Total sales</c:v>
                </c:pt>
              </c:strCache>
            </c:strRef>
          </c:tx>
          <c:spPr>
            <a:solidFill>
              <a:srgbClr val="92D050"/>
            </a:solidFill>
            <a:ln>
              <a:noFill/>
            </a:ln>
            <a:effectLst/>
          </c:spPr>
          <c:invertIfNegative val="0"/>
          <c:dLbls>
            <c:spPr>
              <a:solidFill>
                <a:srgbClr val="FFFF00"/>
              </a:solid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Chart!$C$57:$C$62</c:f>
              <c:strCache>
                <c:ptCount val="5"/>
                <c:pt idx="0">
                  <c:v>Bob</c:v>
                </c:pt>
                <c:pt idx="1">
                  <c:v>John</c:v>
                </c:pt>
                <c:pt idx="2">
                  <c:v>Laura</c:v>
                </c:pt>
                <c:pt idx="3">
                  <c:v>Mark</c:v>
                </c:pt>
                <c:pt idx="4">
                  <c:v>Stacey</c:v>
                </c:pt>
              </c:strCache>
            </c:strRef>
          </c:cat>
          <c:val>
            <c:numRef>
              <c:f>Chart!$D$57:$D$62</c:f>
              <c:numCache>
                <c:formatCode>General</c:formatCode>
                <c:ptCount val="5"/>
                <c:pt idx="0">
                  <c:v>306530</c:v>
                </c:pt>
                <c:pt idx="1">
                  <c:v>320220</c:v>
                </c:pt>
                <c:pt idx="2">
                  <c:v>307656</c:v>
                </c:pt>
                <c:pt idx="3">
                  <c:v>321258</c:v>
                </c:pt>
                <c:pt idx="4">
                  <c:v>329482</c:v>
                </c:pt>
              </c:numCache>
            </c:numRef>
          </c:val>
          <c:extLst>
            <c:ext xmlns:c16="http://schemas.microsoft.com/office/drawing/2014/chart" uri="{C3380CC4-5D6E-409C-BE32-E72D297353CC}">
              <c16:uniqueId val="{00000000-7E01-40AE-92FB-029191D876BF}"/>
            </c:ext>
          </c:extLst>
        </c:ser>
        <c:dLbls>
          <c:dLblPos val="outEnd"/>
          <c:showLegendKey val="0"/>
          <c:showVal val="1"/>
          <c:showCatName val="0"/>
          <c:showSerName val="0"/>
          <c:showPercent val="0"/>
          <c:showBubbleSize val="0"/>
        </c:dLbls>
        <c:gapWidth val="219"/>
        <c:axId val="1550887791"/>
        <c:axId val="1550895471"/>
      </c:barChart>
      <c:lineChart>
        <c:grouping val="standard"/>
        <c:varyColors val="0"/>
        <c:ser>
          <c:idx val="1"/>
          <c:order val="1"/>
          <c:tx>
            <c:strRef>
              <c:f>Chart!$E$56</c:f>
              <c:strCache>
                <c:ptCount val="1"/>
                <c:pt idx="0">
                  <c:v>Sum of Total Commission</c:v>
                </c:pt>
              </c:strCache>
            </c:strRef>
          </c:tx>
          <c:spPr>
            <a:ln w="28575" cap="rnd">
              <a:solidFill>
                <a:srgbClr val="FF0000"/>
              </a:solidFill>
              <a:round/>
            </a:ln>
            <a:effectLst/>
          </c:spPr>
          <c:marker>
            <c:symbol val="none"/>
          </c:marker>
          <c:dLbls>
            <c:spPr>
              <a:solidFill>
                <a:schemeClr val="accent2">
                  <a:lumMod val="60000"/>
                  <a:lumOff val="40000"/>
                </a:schemeClr>
              </a:solid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Chart!$C$57:$C$62</c:f>
              <c:strCache>
                <c:ptCount val="5"/>
                <c:pt idx="0">
                  <c:v>Bob</c:v>
                </c:pt>
                <c:pt idx="1">
                  <c:v>John</c:v>
                </c:pt>
                <c:pt idx="2">
                  <c:v>Laura</c:v>
                </c:pt>
                <c:pt idx="3">
                  <c:v>Mark</c:v>
                </c:pt>
                <c:pt idx="4">
                  <c:v>Stacey</c:v>
                </c:pt>
              </c:strCache>
            </c:strRef>
          </c:cat>
          <c:val>
            <c:numRef>
              <c:f>Chart!$E$57:$E$62</c:f>
              <c:numCache>
                <c:formatCode>General</c:formatCode>
                <c:ptCount val="5"/>
                <c:pt idx="0">
                  <c:v>23576.700000000012</c:v>
                </c:pt>
                <c:pt idx="1">
                  <c:v>17874.340000000018</c:v>
                </c:pt>
                <c:pt idx="2">
                  <c:v>17621.360000000004</c:v>
                </c:pt>
                <c:pt idx="3">
                  <c:v>21012.360000000004</c:v>
                </c:pt>
                <c:pt idx="4">
                  <c:v>20075.480000000003</c:v>
                </c:pt>
              </c:numCache>
            </c:numRef>
          </c:val>
          <c:smooth val="0"/>
          <c:extLst>
            <c:ext xmlns:c16="http://schemas.microsoft.com/office/drawing/2014/chart" uri="{C3380CC4-5D6E-409C-BE32-E72D297353CC}">
              <c16:uniqueId val="{00000001-7E01-40AE-92FB-029191D876BF}"/>
            </c:ext>
          </c:extLst>
        </c:ser>
        <c:dLbls>
          <c:showLegendKey val="0"/>
          <c:showVal val="0"/>
          <c:showCatName val="0"/>
          <c:showSerName val="0"/>
          <c:showPercent val="0"/>
          <c:showBubbleSize val="0"/>
        </c:dLbls>
        <c:marker val="1"/>
        <c:smooth val="0"/>
        <c:axId val="1550886351"/>
        <c:axId val="1550887311"/>
      </c:lineChart>
      <c:catAx>
        <c:axId val="155088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crossAx val="1550887311"/>
        <c:crosses val="autoZero"/>
        <c:auto val="1"/>
        <c:lblAlgn val="ctr"/>
        <c:lblOffset val="100"/>
        <c:noMultiLvlLbl val="0"/>
      </c:catAx>
      <c:valAx>
        <c:axId val="155088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crossAx val="1550886351"/>
        <c:crosses val="autoZero"/>
        <c:crossBetween val="between"/>
      </c:valAx>
      <c:valAx>
        <c:axId val="15508954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crossAx val="1550887791"/>
        <c:crosses val="max"/>
        <c:crossBetween val="between"/>
      </c:valAx>
      <c:catAx>
        <c:axId val="1550887791"/>
        <c:scaling>
          <c:orientation val="minMax"/>
        </c:scaling>
        <c:delete val="1"/>
        <c:axPos val="b"/>
        <c:numFmt formatCode="General" sourceLinked="1"/>
        <c:majorTickMark val="out"/>
        <c:minorTickMark val="none"/>
        <c:tickLblPos val="nextTo"/>
        <c:crossAx val="15508954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1" i="0" u="none" strike="noStrike" kern="1200" spc="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38100" cap="flat" cmpd="sng" algn="ctr">
      <a:solidFill>
        <a:schemeClr val="accent2">
          <a:lumMod val="50000"/>
        </a:schemeClr>
      </a:solidFill>
      <a:round/>
    </a:ln>
    <a:effectLst/>
  </c:spPr>
  <c:txPr>
    <a:bodyPr/>
    <a:lstStyle/>
    <a:p>
      <a:pPr algn="ctr">
        <a:defRPr lang="en-US" sz="1100" b="1" i="0" u="none" strike="noStrike" kern="1200" spc="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Orders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Total Orders By State</a:t>
          </a:r>
        </a:p>
      </cx:txPr>
    </cx:title>
    <cx:plotArea>
      <cx:plotAreaRegion>
        <cx:series layoutId="regionMap" uniqueId="{D4F8E837-F6C5-4D3C-9353-E3C4FFEA667C}">
          <cx:dataLabels>
            <cx:visibility seriesName="0" categoryName="0" value="1"/>
          </cx:dataLabels>
          <cx:dataId val="0"/>
          <cx:layoutPr>
            <cx:geography cultureLanguage="en-US" cultureRegion="US" attribution="Powered by Bing">
              <cx:geoCache provider="{E9337A44-BEBE-4D9F-B70C-5C5E7DAFC167}">
                <cx:binary>1H1Zc922su5fSfn5UsEMcNfOqTpci6IkD/GUOM4LS7FlEpwJEJx+/e3lISVhS1YOTm7VjV9S0dIC
m934uhuNr1v//rD+60Nzc21+WNums//6sP70pJym4V8//mg/lDfttT1r9QfT2/7TdPahb3/sP33S
H25+/GiuF90VPxKE2Y8fymsz3axP/uvfsFpx0z/rP1xPuu9euRuzvb6xrpnsdz6796Mfrj+2ujtq
Oxn9YcI/PXl6bbrr6bq+fvLDTTfpaXu7DTc/Pbnza09++NFf7D8e/EMDsk3uI3wXszOJESOMEfT5
H37yQ9N3xdePpTjDQsaYUxp//ke/PfrFdQtf/0sSfZbn+uNHc2MtvNPn/9756p0XgE/++8kPH3rX
TSfNFaDEn55cdh81vLW2/eHLB4f+JP3li8+v++Ndnf/Xv70fgAK8n9wyi6+txz76D6skGmz/TS3/
e4sQfgYaVxx0fp9FFHyMYiFYTL4984spHhXjfjN8/ZpnguT1P8oEz2+K8rq53v5GYIAZOOUMU/l1
58d3gBHjMyKlUBKJL8CAj79g8os1/pJE91vk1lc9qzx/9o+ySuaqa3M9fVPM3wANciZiIgQmd40h
8RmPJaKK3G+MvyDI/ab484ueIbKrf5Qhnl+Dh7q25WT+RoDg+IxxghTl8X1+6hQ5kIopYV/xwb/t
g68A+Wsy3W+XOy/k2eb5xT/KNsebptTfVPM3QESdCQbBGglxr1XkGcacSQgvX8wivj36i1UeleZ+
e3z9mmeJ4z/LXT29MRBDvunjf28KjM4Yi5WUkt0JHYAMhsBVMfzVRF4gf1yO+43w7XueFZ7+s6yQ
9X+nCfgZFZTQmKg/o/Tt7JadIQ4xQxDy5WPPRz0iy/1m+PwlzwbZf/+jfNLFtdmuu7/RDiQ+w7HC
MQMF39a/OKMMEYaY+uKsPG/0F+S43wZ/ftGzw8U/K629grBdl9fdx7/PKRF6JvgpgVJf01p1xyJw
uuDgmCgRXwEDrut2WvuXJLrfJre+6lnl6p8VsX+ZJqgVvDTXH29s+U09//twQcRZTCjYBn/BAsJ3
LYPAMoJy8s1w3kn8L0t1v3W8r3sW+uXlP8p/vbux0w/JTVdcN3+jfeiZgvMgR1LeNYw8iyUEEfbt
nOgFkb8ozP1mufNlzyjvkv+vjXJ/Bed23erOb/wP61aEnAEWOCLqa90KkqjbkSU+BX4BZ0L+BU1g
s9t+7Gs96WFp7jfH16/dEfz/cXHq4cLVn2W9I9QE08/1wFu1q+9/+vn1oEzpffWrjr44sztv+U19
lx+hZojB9/xZZTwt8bBu//z9m2s7/fQklmcMY0k5p0xAmUvAQX4BtP70RChIEeBUohCcJ8GoFNxf
15up/OkJhaCEcCyQ5AAyxk8f2d6dPhJnUiD4oZJEQj4dQ1Hs26u97Jut6Ls/9fD1/3/oXPuy191k
f3oCwW348lsnMSOCmWTyVHaDn3+4fg3FXfgl/H9svuZ9rWNxUeJjzH+2Mxz//3z/v7wu5Jh3142J
noVtVplOvGzKZN+37V1JxPqlqvmlqPk/WB5C+W2xKxnV27J2Mi3NaMzrReyoeFuse//p++JDFnaP
WkgMGLq9ftzutXJ1LtKYcLu/GnAbo6SkFccJYqglCaPjlJ9//2H324DEJyFu20AgUS1FJ9LVUkUT
hWhhkn4T6vfvr38S+j9tTGLw0rfXl/GIhireROrwwJ5jvLD2zYIqJJ5taurWLJK7MEm7jQPkkCHG
P73orRcaFBpmeXrg3MRyvepLl7sDs67U6fcfcNpF970RgPL2A5TeFzQ5ytOltnK5EhvNyWGoLSmf
8bqsyHPsalcfRjt2m0xQw/B4jrpyNpCOfe8F8Qke9wkALvi2AINsbc3txlNXFPN4UERlkuJPQ03H
pU7GYpnbxG0yetYvBa5TR/pedUlUKNLCmfV7Ijy0acAx3JagKbZ2bvgCKlCEH6jpP0m+6Efe76HF
Pa/QA1IXtU083TYrf0P91if57Kqfg0RXnm9oVKWFpYanNdX6BsHt07Mu0rU7hC3v+YY+Wvgwlpyn
zSTnX/EysmTNdxnmeZTnGUyzVMNARp5OfbTvKVqj2RzF0PcyUHzPG5C1wGprKvAGPXPVYRNiZck4
ApSO39fPA75NeuBp43nhlStk1jZ2zF/Lth3dr3TcY3Q1RWUsX0FsoeLy+w97YCcpz/eQaou63g5R
1vWbFC+thlLtr+00RZ/C1j8995arsQo5tKxcZXuP23QrWGSSVdfWPGKNk5z3AF15yor7mjWObHnW
R2pvzxeDhzltlg3r46hLFgc+xvMnlPW5WoZIZtPkyHTRib5D6d7hZk0HPS1rGK6V5zTGfh5zurYq
G0i9v63NVv7cSRG//b4tHtKV5zWWelV4gRwnI9Gq08YaSZ8VbOvHdzVX9fqIqh7YUdLzHqUqhlrJ
QWWmYdtl1O7o57jApkm+/xIPLe97j1xvCJQjMidHsiaoWtl7sffDI5HroeU99+Fm2UsFFexsbsAC
U1O0KXORHAKl95yH07Tbmq1SGbNzDTbY1BolFm16D3yAh+c6jvgYr6D9GLdjdzlg3i2pqeS+vAzT
/0lxtwAtyUYtjlaRxbbUv0pl7ctVF+MWKD/xlt8MXCAgLrOBsklfTDtd46Ss2wWFQUx6EFv1NoqJ
GJnVthjYpW3JrJLKMfNYbD5txHs8kvRQthVVgdoFTDzm22COVUGlfNlG+yyuiilv63QtyNb91rSK
/u66Yuke8eQP5Tyn88ttyzRrkct+X8AVNqoZrsrI5hIy+zqGtE5NS8WmpJuqfT7oUgzteb3uhTwK
ttD+zYwm4cIULDyAbrmIpKqjPGtl5I5ULzJTsqGP7A98stM96hUeQPk8rXokY5xRtJs+3XE+TynP
9725GGIqt58L2/afhogt7QXbVcdfrJSS7jmRSlW/qZpw/ogoD7gK7iGBDjMfpnrbsykn7LBQaRPb
Yh3mRrkX2FRHdjXLcc+iiZSHmro5EbVkYbILzw+pruJDv2iWDTK39CD2+GZY12UME154XqgxVOBt
rWRmomHJigmzJimoKj4G+SDhad5hI1RVFSwrhlW95xCZX1gUtWEhQHiaH2nRVVEk44w3cAo7OKza
PXHabPYRhDzgIYTn46weN05Wo7JpW3JyqZgx6I91wOAtSlKiPum0G9qE7GIoPgztbkmgWTzfR5eu
AQAYkQmVty4ZRmLbZHMsCow+wvN9O9vr0QkjUzdynIptLo676KNjkNm55+BEHqOuGtc9s66Ysr2T
VSLMUD3iP0+b5x7Hwj2/JTAqoxXS7Kwiuj2QCVfHfOtJ2KbintuCE1uvsO73jMCZN0ElftcV7LEk
+CHRPTRjMXRsbYo9K+Q2PXdbhyC1GEtche0b7sG5rNw0UAOeLsrb+JLMa33MqWJZmFk9OFQoMmjJ
7Z6NWDfnNu6Kw8zZfv791U8y3mdWb893OS/3HUdLtkT8Bo6d9XzOpnrosmmRIsybcm/b01nOXVXn
S0Zh87+Op75KMevrsOM487b91EEqtOxiyXrGxaWKuTtWWxcIWeZtezy1Ta72ymWFbdhT3bTy+bA2
gaJ7ux4CdV7XmE7Z2Fc5PhhO7EGWa12GeQTmbXyeF7aOdijzDJ1er+qpmJ65PG/CNubphvh2QgX1
0WjGrprOjSsW+4YuSDU/c6NEGbZv2AnPt3LpGut5LGayQkro9kM98PdbvHWPbPwHnALzwhivopop
lc/p2JQ4odaRZIxjFyi6B1o6VIzklZpB89F7QyC/6+I1DzSrh9l62E0UWfFVdEZGkvBZhIruo5Wr
3KkSz2m8QNGYnFa3wYqhHlprNA95Y2H1tYrLg1O1S4QgVZjaqYfWknHVI4JgdUZuRs2a80IXgZUt
6qG1Bg660gUsHu+uzRoZGzh5iTUsvlIPq+tEZd5s9ZzyKV+SFc8kwUM+hYUo6mG1LQfS9RS5tJv3
LllKfeOqHQdq3cOp3c009OXi0rYuWSIYfx/NlgQu7uEU5dzQrYymVI6oO9pVX1u328DFyV0PM9p4
rSCbdGkl4jIRlW4SZ4gMXN3DqaRVVOgoBtFjh59buB55mcuiCbuioh5OV8dIx2DlbMfQAZHsnRL8
GE2RsmF75sTcve1+ybjGrRuKOdtY25kkogPPhoVMH76feTzggImHVaxzYvq1hcia2+Yqriw+2rra
0rDVPbA6kw+02LjLppj+jivyyjL6KmxpH6l2q9pti6ZMl9ELcI/vNyIDy3fEw2msdStxJ6esWkp1
dCV/29d5H2hQD6ddbSMTK+eySE/60FTymSQjCtvsxMMpXAsvg11VlHbN+lFv+B3h7dMwhXsoVXop
IojXWwbL2inZiS1FsllahLle4uF0Lrgra2amDKiG6Dc2gR9IrN5xWKZBPKC6sSGoyXuXtb3Zj/0q
/yj1kIepHXsgzZUe5ayNy/hmtkPbDiB6/djN6wMQxR5E404wPUTtlMFtf/xc2QI/b6J8eBdkVuxB
lExkMtA/BduxzMuEtstvUukwk2IPozvr4yova5cZPtMEq/V9M6qXYXJ7GGULWxdNYe2osm+Z255z
Zp+HLe0htF/yvJhoMaUoj6JDVOXP9I4Cz9gnKshtf47xMMg9IlEKXUo/t5t8r8zWhLkW7EE0KiFP
Nz3opCm7V33Rn+dtGebJP1c6b50C2LBsdIWaetrv84VZyFPGwyLo50rxrZWHjU+iH+BsJ9rimerX
rDN52DUr8mCpm2ktnQOhh/aXfXaHSv4atEOQB8kmrsyw12BEVtZ/mDV+pXYR5qeQh0c3zvW6LWLK
Nlvht/s2kaxy1B7DBPcQSbt87SodT5mNgEpAuvoizuPfwtb2EFk32nLolYxSriG7jZC4ZjENDGzI
wyRs7HFsEITkUos14ZZFxziWcxhwkAdKZWc5MT5H6SjemP6ooBIcphMPkWVRjmwstylzCsgcC7VD
gkfxNmxxL2IucP++bV1uU1wOF0sDd/sjrabAneLFS+McqqMGFlcNf0nd8EGzzQRpBTpp7vpAoKht
aFSxTU1LX3JYe3Vz6NoeNPGiJaUrhtIroeiZU0V1NbJVBGkF+5Su0rK5gXwWNgrfRbKj6pdGlEEJ
FvD17mpljR1b6hiQv9Jtqg6I5aI/EsiAdJBrAbbg3QcMS8tyuO+YsoIN19Eyv4MC/i8hWxEaFe4u
PVOKjKCgF+cKfhxdrRPoNpRBeQSOPXiacpZQ011B8HV96Xp0tc5jGELxqSv4djyuWomYLKnNVE2f
N0A4TKEjiQRq3EOoKwxwLt08ZWhoXrGoOVSmDEpScOzjk0fdVtDWZoRwclhabA6YVZ+CzOmTqzao
ylvVThYIBuJ9YdcrLfmbsKU9fK5mymtFIpNtuFmSppfjeddWYcwI7BOrer508Qz0nQyuYfZjt/cv
JLVh1/5YeQB1A7F1iReT9UB/aRLrTPQ0mtH2OkwzHjyXiIJXZA4sOm8fLWRwq1V/hC3twXOCwFMO
ordZLYrX6zBcorYN24c+t2nOVS2qhplsn8cynZeCHKOm+xAmtwdOvbPcmrW2WVwOh5ptL1r1WNp5
0up/Xrlgn8W0RFAPngdpsrKduUuMFNXzUQxrslTEbYcw+T2Q8rpbu7rnJms0/b0p2btoqN8GLe0z
mFZgPDZC5gbwP9uL2Rqc4JmFXXdh6aG0ICXXhhIQnOF37Rx1CYuGX8Mk9zLcch2H2qDSZpxotqQ7
dRtLOtWUdViQlh5OWVkUyqkGtuQavdIteavHsLM4lh5GG81HODDD0vkWv5qQ/jmnIugaCp+aXm8H
okZteTvOm8lo3pIsUmR6hYtFBzF9oYPg7upEzojPGnZijvYt2cyYURZIGMPSg2m75tG02tJk3Tyg
BM3yfFyKsOow9rlQk2HOsRhUDu7x6byRpw1fAzHkwTNeisZVY2EymRddIvftaWx02L0ZxPm7Go9h
l6CV1CbD/fyS4vGZQVOY3D57yWi4nRBLNGZWqHcam1dNPQYd4mB2zV2p85W1dTFUJhOgmSQGEnoy
bq0K84c+o2ei1RhVfTzCvU05HgypX7koDktBfToPQnDO6jgas0LTtkoWKFSkDkUiUDEePKsqBlZa
tQFu4q09KCfE60ajPdCiHjznioscuHZjtseGHLBlLyCSht2eY5/K46JO9XztYbv0MUM1+NqttmWi
4rkOquFg7uW5sm4JEBbNkEk2vdGFfbXU05ugaOHTFop8W2jTFGMmu/j3rl9wUjL2GFHvZLx7kgDh
yQ20YhQXawd7pigXeeig6JflORvD7j9gXsFdNG21c8q0+ZCpyNbjYV6G9pOL5RJ42PXJRrgliC1x
NGSm3OyxLUSVgGX5eZjqvSRAynVVaEZD5hpBDkgAH57CqT0JW93zNFMD7DtLuyGzTBZTgndSX9fb
2hWB63tZwKqNMMsKuunLqk/01P6yNjgsVvtco4b0SxtJB3rv1HCxWWTPl6YvL8I047mamc50G5pl
yKqc7+9QnxcXMJFkqAMV4/kaCv6dkw3MGnf5aM+lU5QlPO/FGPgAcnfXwyVi3XfDDJqndrk0Rv1S
jk3YnQL2iUYjlMxV5Noho6ZSv0u4VLhwdTuHqd4nGk0oWred8j6DHR8nAqgvSbRFMg0yLPO2vNki
uKNvYHU+by7heLiqu8dYTJ+p2/f4Mp9mNOoVqL6K9Nks6iJP4La4AtBKvdaHoo2L+qIdtuWNa21z
SS2NRDaV5cjfQoubHF+ymFvzJpatuKjhXrK/qOqOiUQ2GorxxToqtCQ7q0bzyzKSyB3QNnb1dV+W
0XgQkFiSI+ZQa0/l4FZ3bDBUyQ4CbqnXSzdGqsqIXEt2mffVsh0wgmrCbxGwY7dzTCsrj1SusObS
6Gk/L8a4tNBtR3Z33hKy7kc7t7T7fZWM5S8nJqLqD4v5OGZqJ/GcmRXe9zhMO08rNHN16CTB9UFs
snAXBe6L+JlQHfSFoXEnb2DOyZLMRJjLQVuzZ6iP1Xa+tM3MjrNhBU9nuTAoYTflzA5FM7Q95LNx
vB2U0VQmba8Nfrp0eRVfNhRPLNtB28uB03q+3PeofWG6GbEjQ/O8J1Vu8v1Ng6tehmUhPrXGtMU8
z8PcZ7Uq3K9GjTvUUDs1hSHXJ9eMnZ6AnR/3WQy1vIST6lm5F2E9N9jn1iDQHGdq6LOtH/L22KOl
ytYR6cDk0mfX4E7jPaLVkImi5WtKbOf2REa8Ho9B8KWeX57accmjcuozuB/4tAzsikc2jIyOqeeU
B7eYedxkn5UoBvrOZOXaHGhckU9hsns+eebjTmdHhqwZ410lsh8pXG0qQsKuwLHPQ2xX5kTtaJ8J
XvZQj4wSUtA4bF/6HETK8g2OOM2QlaK9yVn9Jpc6DFE+A3GGO8K1ISA3d3lm4+Yq5zisbM08nfMZ
OFMYapsZdLavSR7FdRI3uA/UiZe7GlRQUcN1claQqkrWevwkKvM2aLcwL2+toPF67iTqM7e54QW0
DuqLnk5tWJD12Yel0Mh1RNisMDV7xuBkBX0dbnofJPtp2MHtOsoydA1GawEJAsydTZxcqlRrHZgg
+HyvQS55tRcQwuGOxhyAUSYOQ7SgLEh2n+y1IGiV5rrrodG1aa4EnfmUiNGIMI489tletuoKIDL1
sNk7J6/KjqLf4Uy7hZWCiZfeyLUd99ZC3gelrPUyZ7nLJJpkmPclXj5PaONiffIBlW6Lg13GInFT
24ahyad8YYNXt8I5OYu2jt6UwDa/2VvXhjE/MfFCBye0q8qqHjIu5Bxd1nGHDyhfFv7I3eEDfXXY
J35Bu2mei0Z12d5gat4OtZ77Qy47MhwX20dvoeHsRRTFTXWELK6OD0UMh7rzMuK8D7M+9l5xkTCI
uGtNl2mzRn+01UI/mAjAF4YMz5dCF7BAroLsdtnGUh2itoLxFm3ZDU3YYdennwlEdyhinAJwPuH8
aasL6Azbxm1Ch7A38HzqjpyBflrSZZRiXSfrUi0sqWo2BwZJn4Qm7A7aJ/CAzREgRe/uHfQGfAgS
3uegNVO7TbHbu2wwnT2sBf20TzxUcM9vFOOOra1lm0HmfN6Q+ooQG3ZQ9xlobRShYoH5JNnEZnuo
IwYXGcv+Okwp3mXAVDamwMvcZbkzKnUlKZKW68CM0CeK2Yp1Petwm0HS/0LO+9NmLB6Z5XKC5D1H
RZ8nVqxwzyhM32V2JeUVboxKYIz4EhbEfKrYUgut5pq2Ga1VXySVUuNVKV1XhgHJJ4yxeO2p6FCb
Sd5VhzFWFzXDW1gc8CljZuiKIo91l8WsXJ5Z07KDnKr51fd3zGln3KN4nzcWL/U2Lxjie7OzERIr
ZIs4bRDu+1RA7tyFJfs+h0xtIleCFn2GHJ2GpORTddr8KO7DYjHyYnEbaTvOsYa9yckbN6HXBc7D
HD3yQAXDJSaFDMgOVSp+1AZK+bvDXaB5vSDVwWaMamAFplia/PW8RcObruRh3UzYp5E1usMOEduc
vKR6NbSUZ5PmKlDpXggcoLqA8rZr4DIcqhL9qF5FrNCBivGyZrdN3eY23QBDAEY4HaD5cHy/N3E/
B67vRT8YSJPnw2SabDfyD6gdPW9l+e77oLrfmyGfTcZmBLfV0CEIjZ99XiWjdfPNQsewaRgoVnfP
ExrqCF2Zn9Q+qBwKjlZdtoK7oO2OfEJZTyq37gaEz4sSyk6YDAlMOQmLIfBnD+7KHotdbtxC/Q0v
E96OnQY+wqHqumoOOuIin1Km5iUfILNtMlyK7agKhF720M/3OsyyHlo3oaGOsIzRscDF2l9VCKMX
hAzcPSL959LQf/pj5BPLYBI4WYVwsHWE4+3PI8adu9D1PJpzOIg5cs5jJuxx5M3aP4s2OBU8G2Q1
tu8JpuzcCbJfShZtPIn33MGEgi2q65/bjq/k0I7jpg97Ueb7H32+aXfeDRBzD45X6wfaMvZ0Hqrp
atPlfE5zt8ASMAOjTFCr2f62xNDf8qo+zal422k12CMc2NgOn5rlUCJgfr6ohjLaj/DbVj+nJO/n
oFQP+YQ44DWO5NSQnBY5rl7McR0/I5oUYQEWxZ6j6aOa91AdrTOyohtBxlcxLl6GbRfPx8BZc2sj
sdQZ3YFn2xB2SXr72CCNE2Tu2So+Jc65qC12u9bZOMCsjktj92Y5xhuwHo4L5PDFJYzJbsqgGgZS
ns/BYwxThmdeZ9EQiZTVS3O+D03xS5CefJJcueUOzoi0zuaelcco399NFXlMT6c4fZ+ePJeDUaFd
bVydicbpN8CqZj+rsliv1wpHj9SPHnrE6ee3OgZQHsuCDGOd2pXW4lhOoxl1Mhsotl/qBTraHjlU
P2Ryz/0APaFws2iKFP7aT12fO75iYIdFTarbXZEDMLrDqkrwNyHuvlFRQu0kNw0orSMREN3EO3BE
gQFMeXlDBEM7oBDQ1RmGG/SJLucTxY846Ics4YFZUuBy7tCDe6yLUU6XcWP5ea9iuD8XxdygIHYB
Uh6uOawttJYRjLqAQYLQ6178Fo8yrLUV+UQ6u8Wj1pupMin5dA6ca5XkJQ47rCCfSDdrKEVSh8tM
M8XOh3lrjyrWQee4z4OV7wBBDLhpZJMf8ayvUE4T1oswnfscuo2ixvYTLL3vLM3j8bzVJOh8CENp
7272DQahaRvX+bHW5Knk0dNRhFXxkM+hA1ohKEno/DhUy3hVWTtlEadvgtymT6HLuSznjUaw2XFh
02EwLNnihp2Hre6hFMW1yTmKdCa1HZ4C6/XdWGxhw2GRz6ErhCyimTidNRtpzl08dRdobMKoqMgf
JhZtK1zstUZnuqrG41CqZ5E0Ng3Si0+jWys0Okv7+Di1TK/nhCy/DKauw8p+yKfSlX08jQ3r4mM3
jy/qps8q04cFcZ9Kt5XrWrQFJFLN5HTSuQ4d9oY/4nkfOPT4TLoZ2Pk7dPgBiOzcJ8AaOwwCJgqH
6dxD6A4Dw+w8DRq6ltrt0BVDPya56eIwQhryR2PF7QY9FzWPodGq30mimtw87ddah/VBIn84lhNd
3smRxsd22eFm7BWwAB7RzOdq9j3pjc+lY2KHVoyuKDO8RXR+inTLocGogFmeb2HaUJ9pHu80kePc
8lRAdW05jFPNZ5iQOYjtfHQxGtN9wAW5biUnc5YrqmVQBR75LLydl8s4udmmXSeaA8zChRkTLA+b
o4B8Il4TT3SnittUy9Wc83yCicVRHXZ9jHxaD10I3Zt6sild2hI4HNNbaNhcH7HaA2DxWT1uGWEI
j9xsukm8JzWqzUHWgd7PJ/Xw2omIjqD1vYUBEMu0fUKmDOtOQj5BcY1GDKNUptMJ2EzFpaZIubS0
te2OYVD3cqtO60koXMrjakoBMWerXHco4a9s0LDjpE9RNFPt9jkfXOr6ckhbxZbjELOg8j7yx6FB
Fs7pQFuX4tM4tIWP0HzPZBBlHsZ53s1TBjkzm0+w+OxgHHdj2Zj0DQmjPyLunZNY6WDAgetcSio8
HGiNqwSKTH8EWdXnJ/a1gj8YRPMpnUnZJiqKoCdvZSgsVfFnShZAH0YsolPaA1kq6WtTvGgknX4N
k907C7FlGCgW45RGMVw1sXovUr3xQMWQuzbVZsE93K1PKYwdJS+7dq3/EGiXYZmtT8GL9qEd84a6
tIDumWO8lOUBwBt2eY98hs0ObRC5niGxkgP5w7b0TVuSsPZq5BNsyhZKyv3AXKqRQck6kDzNc6DR
fd+kDxwTfY5Ng+uR1D1V5yJv+PyydK1uzzdBGnPOzABR8PuPecjNe8bNZ5ozXMFLwB8Bio4z4cWh
W10Y3wYx76w7lLmcJgGrF0WnjwrINoe43z6Gie654bqC4A18RpMO67AddDtWR9vmYV7S59vEA0NT
y7lJ59rN522pSAIDjPcwN+lTEreWCrGbxaRTuTfn2Na/7LjiYSb1CYl72bK9h1pPOqhSHtpmrQ5A
SQ2jzyOfkdjJTU5S5UMatZE5VPvQJXTYwiY3wV/SuetrcsYagysxpHoay8PO2+agYHJ9WOD2yYgO
b1ByNoU6r6puf7ujYf21Qt1jo+QfgJJPR8zpsmAHZOX/S92XLEeOY1v+yrPcMx8JElPbq1qQdJe7
awpFKMYNLUaOIEEAJAh+fR+vzH5dKaus7A7rTVvmRiHJRaeDwL3nnuFATQI9yvV00iT5K4zwz179
xYOKhBvA1UHKYxYBOl+jr9MwPv/Ug/SS/dUnJKmQn8GP8PmqhnzdQZN1zWY//NzLv3hOk2FKpz02
8ki1GkFz7DbW3LFkGMXPPasvGWDaigUln5ZHaZO8k+QyxD95bL8kf8GIa3aB4KVVhmL1ylgYf44Z
G79kfiGfoa0aPsvjfrU+6n2SFVkjfP5TN/0l86uLh8btYcpKuHCdRqNfxezn3ATjl7QvdDloapTK
Sgb6QzdGd9nYPv3cVV8X/z+h1BQ2Qo1Jx6wkbFHJTaYH6K4br5a3P/f6L+qkUSdzNywTP2ZTssFC
PbPZ5SrV+ys/wWuZ+y86XfLiIW2jXmfCV+yodGRPrlpX9WB5XNcH6FR5da7V7pt7t1d/2Vz/ybbw
0qKLhWxUCKQaDrH80GXPbP25evUlMYoO6bpZi9dN29cCrKWW/iTQ8JIWNYE5LKuW8yMbt3g9arnG
99bI/q9MuP+E1he/dOcCIZ84PLf8CGFKnc/N1Lpb5aMJfFxr9HzjydpBPI10JvJqs8SNBUxPo7iY
om36KyvS5Lcgr3+1Fl7UPjyQaly7eUDruflxK5KhHYg+9D02w+HYVFs/5POkkCKUj+mMkmvrghn5
eRo0a9QReEfXq3zY+zWcmypE1ec09WBDjjEo732edmH3Pkftqee7niVC36+28gk7b1HG5z43+1BH
bR6nsk3r3DiuUZ9ODE9UTuU81Z+1adSS5FnPW3VO9x5O1mUAzsLrMsyrN0Uf0m57A2c/v7Y57ZG8
BAfz0G52zBO5RCzLZYBjf39KdM+QSKAAJTuVQ+4xLLhAy6fxrSYKzUjHO/FDaYV/NsucrSWDHCDN
F9yhvlhXT9qbPSwbwrD6OLXj5wlYOl/yzSRx4nMqWN18HNusl19VvSB/CfrafTIqhwlbFz5c2Y0n
vauw5SO8vGzhfWuTvuTQs1aHHZM0cohItdmiEtgAZLEyH6gqybrT+DYRK5PHli67guxtnsIJ4Q1j
wZle2X0XL60o4zb1adFwNqM4FkqUQsGXON/mms0jaLXd1NSlk+jZeQHgaqsnXNk8Gp4LwjjkPGt7
U2Uc1Ty2eKaWCz6tqWlzI1Bw5zKJBlUuaiSfZqdY6cO+8a9Lu4f0qM1E+4fdEMHeNTPh/CF1VZre
7VUjlrocdkiHsqP0SwKjip3xZbiHcEbg89Jtq3FxdbzLejnGMJtGkaziae9PgaWb/zIL1U51Ma3A
6M8cwjD5nGx8s6EYxgwBb7WIru6cwzKMPoK4aAeXDsZGfFmXQ8BnOU1nQoFvkjPrR9HkPevlkfXN
WExs88oAEQmRXa8F/2pv48X2B29wdDywqV66520j9SiwHCayHLuU2q2Y6iYjMO9twlACHGrER+HS
cbqV2w70rKHxspnca4cZSy4F5QSFrXNpmhaSpmn3lPTCsCN8b/rtdiQ+wbAhdrC82zH9d2sNFWwc
LHOgwDJ438XD8oUMEaRMZuWZfsOpSkTZVJZ2X9CSigEPjcqmtbQdnexDv8Q1ewZrblbHLnCot+QU
T/Sy04j0d0nj+/1bOw7TAiGTiabsYcZD2xxG3QRy1irp5vdNpERMcOr0NaM5V5nUD7FzffIl66pK
hLyqpapvvF9XeolNm00fOs8CLWDnH8MkoPZpIuG4TdnwtXK+7uu8n3vxhaZs1u8h+t+bAkM/lBQQ
OUzhHvRiK/DLU5R9nTqz7mdFdAjP/R4nSaEbPElfuwzL/FT3ZH9wMq6PMZlF9yjMwtkhFq1uXs99
s+2vPNQNJAJBAHYOorwaRLOz9W4cf/QYqDW3HZvTcDNN3VDdzEQm5naZEWFadFmakY+CkUx+S3xf
PUDZH10w3du/Qteh8s7Tuqzh2xSVW7sLf0G0x7qf4OmUfhhkm8lSDxByPvHQDONDUldtcvZTu4RD
NDfddpLBxOyGs62P38es6qvXzSxrXejgIlhVdrG0UJAohnzFdbfU3Nt4d/E51UwPb5GnUk2PC5W8
OcZNP/HSbd2KvdNTYZojaO2JuZ/lyr4OsGoYiwqwn39stthgK2mmzR8YnZypyxhDxPW27+A7fazq
RUNbEvG1fm6EldlZaa1Z7qrIsC9NIztd1KPtXZeLMaliREJl6Xa2g7KudJ7EUensSJJ8HHavP6ZO
4gpKGtcJXCY3XEUb1dbk3RbZ8TBenZJy+Azu/cPsoRc8UG38JxIHz5B6VyPBs0DKBbtHFVt/r/AI
86IbGqIKpjyd3ocZsZnwnVIKTnR52u97e/YOIuDngNhAU+XN7PiG/X7XfpryzqF68jkGEav96pc1
pe+QLmJwIPQwEZKvB7zK9YPUbjEHKhkG0IfRE0VzSFtHejPIRPaHda3TIeR14sR+6zdbA/rdEPgl
T3EVULpDYNg0Z4vwuyjfTdtGbxjtDSmbjC1RaeM1kSUP+969M/GedqfV7V7eLGqKqnL2pAp3KTLV
XsWJ7do3gN9J6PN2GJw8wsy/dhfZo7F8CIC1xDHrW5x3rqroDIJ81mx3qo67vph2k7gi04ZHkJMY
W7UeosbdJq9d3CtoZMbMuVftFnNymjDJ7x4mGBC2c76GDLlGsHvPZ29kck5Sad0jtXM0fibtJoY7
NqQWa2xs1NB8SwexYyUoOOnZw1SLdj3inW3dgao+s29ZvzbVxdZtl56hEWbD/WIIotAO2I4GViLB
Kq2+73CwhtW8bTp6slNb1yCFQ36ENSJgb3VpOhf0SXcqBdmagHwdH6xGGGW+ujCSN/ib4t2aNG77
NMDLH5J7SZopK2a4YtZFhP2pKrZKb286wlx6ElJDC0fHERxitRoRFUEvDkl/ZvIbdD0rTwrMeUTz
CpdL6ePmQ92eopFkGOi1VR8tz0rt03gBo7rZURWN+/YVp4Yde1jXxnHydB2gpXGRNjPf7/dYZspi
J95DdRYdPnr4/zLkwN15bMjzI4I9rDnHrpHutDkm6fXk3hpYNdS4jdbmTuIpj2EjWO9LXcytD+Ep
ldsgc+TLCXbkmcL+lvep78xj7BIxf96N1VmXD27d6Dlkabw9ZFj9zYfObkjXwZtMp+qxB0rpX4se
N/Gyk85s5Zgu1J1w/ke6xs0laj34nXNfo3hy044P09TrcfV9pN7yJDj1asU9Wy9zB7buY7e2TVtk
XTPZD5vmhH5UhAehchi3xaPGnUqH+tsIK9v4FcIEMvl5ypjsP83D3BO0vfCpTAvVkY6fFHc2oH5r
YsGmfI6WgKNw2HB8oNqDky+L6MpLC++MKYA6yaMvMPsPWRHjUO/O+zL3z3zB+j70sR9Y0W47BleK
j9l7SkBXKdIgqq4ARJBxBFVOfLkhA6dszdMtVvODbuYGSvAErqoo77thuk+V9tGQMyg0P3fT7LYj
TdpsfUzG2MAWGeNv+ZyJ0TfHdUAI0KuZNOkHYRFgU9qsAkIj2sixhzDqCmW96Tx5xFgwHV8PPbf7
bdKN84QNM8OzAT0B+IPipoe3rbmv1CD1Vogsq18FEJKiYmOtWl/b3c/QqUOOTHwBd8mqL7hMWv3Y
W0B/eaPqYT6kAXLn4QgJa3IQVTqOpYkrgk+ibYbkPlv0NWCX2WvxI8B4bepCipWSUi1znCx5v2/h
fScGmFnlu4Jk71lD/Jq+qy2b7sy4oOIqmrqLiqSDWV8osLuvOfcsde/JAleHU828xnnPtxhlegpd
tXZ5SLPInVtcQvy0TKPjBaFsLvvQLONNv+FR/0hj49cj4f2QILzKwIkuydpUlOkA1nZu02Q/ShxG
3uWGVp19WMBok2OhmOLDXW+r8CjCNZd2N3t6a4Xo44NAOM+GYxQlR2n2DNu+H9aoPvdspO55Gapk
fT2aJSkw55jJpzBUfi0q32QnlGsIM+0hP5owrszN1jWnxmn4hmSQu+OwTYt9d1LnE3KeWOlMTE41
6oH3XvH0tobDlcqZ7GZbNAlhNax0NcmnKevYRfg6fMsgyuruCR4ddbN3dpf3c0TMq9jDeRctUOru
aibIjtopycyrNdJgU7uNFwzq/nvMZKChR6ZsCpN4aHDvgxHk7eSj+tCTjvW5Upu7XftBPtYewQZl
j2Vc0G3xBWmq9pRlmbxbWB0udbINn0K9dm9kOpiijdnTQI16Szs5yryOtQUbaBn6fs63uJXe5jWq
3XAMCPULJ7aS+h1LNn1xXRCyxHJmhdqXfTuOpqOXAFZp9tZHgr+pB5/CLR9dK49OleKrH/IKK1fA
vSA08bfWVcG9pZSxkK+t2gQYtsnqQ9lebRrOQ9h2uNkIkwSNwON5tgR9TJtOXVmzNYkua5JBigzZ
uY8vpkkq+WCjzbrjCvuF+N3OBsIKGbLV3S6ZpvUnVK5qPlBHInLSrW6zu25bB2Tw1uM65D7RRrxL
l0HHj3O6pPoAw5swwinCsuY8RascPkYNIp67goaWtmVsu8blC21Rikq38LYwA2oUn1dplKZDHmhY
2q+boOl8t27Tun9B3pZHOdQ4QbG6BzxbVOcdlFbdAeZGFbkxYmi7py0BJHOYxixVR8ex75ToaGp+
nq+syMPMFUkfoUbq6C1ozWlSJnKj8pxAb7b9aMGRV4+LdULHRZD12lzsbNOY5fBLERhx7h0ZwhNa
Y07QBYNJu98COrHYF5qR++ReKzySb3o0q/5jT3t5zibwDFKrPP+Y2LSPPikMSdEmbxNFNiVmA02B
1YFiKa+WFbu7NctWrqo24j2D1YJ7Jzz29g/WzpJ0JeVzhPOqGmm0vmF+7wB7RITwNHeuMqqQVTqQ
B7uLLfzI4MIwfDMtZIAH0SHg8XUYmk3CB4JO5hWit2m/HcYVprs3so3I9IrhKcOOGKdmFtiemo0D
w21GoCynLo0bf0r7po9Vme0GJUA+MMZquPNP6D9Q8XVzEVZ9rUWQruP8U+eMqf2N7OvevBtsNK3H
qYucPFsrF4pPbJfelDMZtvVTLylEkazppf3kfD8DK6pjFRWyX5Lbdq4rVswYZru70HVZjY+Et9Bo
Wgw/CqPXGUXpzOCW827ZMylgoDBXd1NNgP9Um3g9pyQ4VAd03/VjGIYhN0hRzaGmq5cU0Wmim47B
CxqKGsGzy3lPLRq0Ri48t85Pkc7d4rx94onnzY8ViTPisPdx3JTMX8/VvLaI/jjtTNEvAfmFbZen
UySrC1KyM5YVdti7CPVoiKObbccKvsGJn/CLw2bffZZ725Q447PqcSLWHNpo3hcQU6IqOqO+TV0R
A961eSTcXBVwvUrfpqsDLXD1Ta3PsrmeGLhbLoHp7jS1BU4krd5RTFbiY9c0oyt1RFt/WDfoS9D0
RYD4dt4k7YPofIyGuQ39A+j5y3moWjbiiayWyxQD6LiXpHbkvFRu+CRQrPiHsff24mY+Dk0pQtgK
SrFxAIqpq09wI+naslbYO9vO9PfOxSjgdtjD+PPARVPoPSAuBqKc+NRykw73s0vtcG+qxd4uWk/d
Z2I20R8m0ZtnNJ3pQUUppDy4HibOYefIWhu2zL+j8Ij5bgiLERcPV5QWixh1Rj54ro4pwsCXYkZ5
PxUC8+YVqX9iA+iOfdMW82y2YljQMaKw0XIrIEQKdZ40WLxz6MlQaPCXwJyG7Qu5n+ToAK+4aJfq
wv1Kmw+bX+f9bs+20L2F+8pE7hRrl9YWLl11ezsJsJvgbLdtJfLmATFWa/ZIkM5YrhPfOvhKVAg1
HnHO86ekSdG8VhatUc6Q6nfZuyrawPqch73sMQmmdV45aLu+ViMSU86kR+mcV/DuEN8nBxACZxZq
fqQObjFoO7vD9nYfCTm5N5gZEXPnocYfHo1HkudDtsBsqBDCaP+oMNL7ku1jBMOwmrrmfTPVkHz1
TusBbDaVPSsiXZsj17bJfY+kD3TMSAXE3rfq902LHhGInD32dglJjj1iq9p8B3JHy56zphlug+do
M3OopJJPKLDHtJjQiK6PQde7f4r1HPEPvprH5XFZW9leRCNr1R7UUvXtea2bLWmw3xL6o/eoJj/1
ofYosHep4fXcT/P+FjirAt9nRUOutnzDWW5OW2c9nmwyvyNpkx4xqUhuYRGAg0RQGHXno2cLf4vn
wQ8H2bgG/jUiGbc7L5ax/+gVGtjcGGBs90lE2Phdd1L2ZT9VhjxHZFfrQ4jRlTxUE3LKngQAKPKP
tnt50DZNxx90tJKftqQe4iLLYPd8h4OsxmFdb5T4smJ8E7pA0hPIq8WegHD1ZoU3T3xh8BmKb7Gw
eH9ZWJppBM/F23gvNeConOnUw61bN+Z7TNO2eSB7NYLDVsX9eIJtekReQbXH2VQgg2j3mD6MQR+R
ZOrNEaQcrQqAx3T5MnplI8Tz7U6cowFd44d4UDNKd4b6rkyM1B2kkKgz1cMCmKQvwO53dslhSZOQ
25gRihqaumg8tZjyr188CdLiXbHK3fi6Fb40VOv+MKSpmEuCPBTX57NRoTmi6B3kbZXBRAvUv+Ea
ToWsrqnsmlZul8qBFl5ApVBLWsIHILZw9a4UpqkYxE31ha1bumNrdjo7YZ+cMCuecYTlgJuSPodc
ce/KWY3LcMy2JZm/85b2Q4QSKclcisRSeLn80L0aoCbqMZ9xtlgVjsOsiAYjbxjRJGznPhGpeAfH
YuXurmtu03jjbdZlRZds6fRIeTts7yO8GxnlTeLSaTlevZRRd69iX7OH5doo3FbR1G84Y8DWhL1R
qOr6MajEoiYzS8riFT0ZWnNeAFKmKMpjq+T4tQ3YskFDClzF341bo/m4wFoVdSEec8DmyEqZzMXK
aRGPtOnWGiei6PZvfQPQ9VPX+ak/ZnU2Rh53V6cjkoCZaZ8yVDU4GojkGT1qbO3z90Zn1IvcwaA8
PHieLeI5AQzRInwEMKf7ImEm2r/T0TJFr6YauPbTeq3HoWgPYiAFX2e46kK0pc1wbhTgfSySTKdH
w1HfsQNS/Jb5FvqzmvpiB1Q+oaBvDW95CYKXE7deAzC/QxEh2F2/ZJl9Mw5dby68Tv10jhYkdX/C
1KWKCwyMGCQlk4qWfODER3dTDAeap2ixS/sh2pGKV0gUAOMhLEqYh9Y6yCwUjfn6vA9gXxUitsCy
23QYYXBi6sh9Fczq6jn1tinICHf9bt0v0Y7waIN+aWqGs9d1GnKUGR3ACr655RSmUaYnAzDR3ww9
2+N3AE8ovbQ9Bh6FjhXGzweoWWMjrmf4jhb+ChxEx9kQshQpU12U45m7Z9qGDCMVCvuEY5yA2Dsf
2ygBrM1GINkhHxDwJfIwb5qWpuE0O7ltkftJZ1sUjzAUI36RgC5qJHVNi0y6O5oYa99RC0/v77zO
FnUXAwLkx4E2i3zjPRDocqhFV0MbBzrUq3YcB3Zb1cPYv/ECN+Y2ENHbS7wg0OV+xbUS5GmHnb7q
Fq7qy9ZhUvcW9WxbrUW8sNDOZTcJBXQug0NYGxcLHmYdFfCGYEGXGHdwIY89qKNXA13+EZaXsU0K
KWFjqA4KiLddzlx5gxvreKfNq83gpmE0hJWASG3CZXiT4rZD2iNp0+9vARJX23HFk3yU+87v0Cuw
6JZElcRki8XwTiPXaYUgN3HHmL7pOz7Tu32YoPtNSJjcR98uEqYG/QJriaND1HBo8sQzyjHKIaD8
xLMVa8HQv9lPas0EeTVB9G/J8Wo0mqB12yiixYXZ5doVUnnfl0GZa56Zs+yBmiobzxl0pP40j3pJ
y3oNerwjFi4pQIJijJWmYPhybIFVJnlkkyQ6YhTj2nIQtUR1rWerec5S1aafN44M89tqr7vtNQwB
MgeIsanM/i0daVp/0f0UD+c4hdDuHAPcmu+hWTfueYAhcvN2Gmm23SVZZMOPMNNO34VQRxY4xkZE
gQoG4DhgtAUQcmstqGazy+6XWFlfuIDYyrPBJXTlshPSF2BmM4wGs+zKBFzFUYKE+TCsyMh+G/u+
tvfG7cl44QhdQ12Ad1iBaS9dQC655Vn3BWhGlJYdFZG2sNxEIVbYEatdHYC99wAHsJFeuxl/rUdk
ZNa0CFGUGDwsYjYg62t6vYNSoyuv89hQ+Wj5OkQQu7e8/bZcz8dvfIF4H0pmWp/nSaIUibHfDW9S
Y4jDs1dTNbtcCwtNLzppxBTxJm7jMiU0ArkjrefqgTTc+SO2UTjxrcPYrt9dt+ntbtq5ou9RDLBs
y7u5Wy4h8H17L7jS6yNO7To9WZQruYIZypwjiqa+YoJ6W3HmYk7zCsWx5BfbgOf+ADxYQW4N8/0d
HfzcozmniE3MqPsM2eQscshaiD9sTPcAJ8zcvMY0OKnLdUU8+esOvDqci0h4gHOgXEUl33EN3agu
xhiw/XozVmaeXN5CbZblk8C4NC0w4jPLd/TLNTAq9KWx+4ymbG+jnDkMjLucYpd1gEqGCVqDHBbp
2tfHDeJERNOMW8aaj9D3hsXki0eEynyj0HK0XeFnuFf7C/rhjSalSRtMrMt/z9e4Env/xQz9pRVJ
DeBxayPDjxOiE4cS+fbbPZhKc4HjGaA6EGbxF7LmP2FuJC+IZ2a2wWZpyo5QH8/8jQtTtZS6RlkD
qSoq/yKG1nxAEbKF8S8kmX9C3Xhp/tOBjILNg9AjEwgAcPC4OMxAUP7iDf3Zq7+gumjEh1neSIp5
qPrSm+SdF7r6C27qn732C5oLqrJZ6bqix4CMgbwx4dwuQ/qTL/6CN+GSxI3TwugRyMoB44E2rxL0
0/9+Qf3Zlb/golXb2joqW3as48hiC18r9HnY7H/q1V8aoZBep5h5476gM4ARqJOItNunN//+xf9k
hb70QWEmUV5vHZZLwyX5ZsdW+SJmgSDERBClc72A+nkC/Z7qn8oCgw7wj3SsRtSewyCCHpG9SN9n
s7EPXQI04N+/oX88W//i6X7piMK7kLI11NlRCdkAV5Fj8IAM8d/3kDj2LkOhhX8Zs2RkN63unru9
fU6w0uipsu3SoDStmwOi4L5ta4qc2NxxnMC/Xd1/ft3+R/19evXbddi//xe+/jrpYNq6cS++/Pvz
pPD/f11/579/5o+/8feb79PDZ/XdvvyhP/wOXvf3v1t+dp//8MUBZZgLT8t3E15/t8vg/vH6uMLr
T/6ffvM/vv/jVZ6D/v63Xz5/U+1YosY17Vf3y+/fOn/72y9JnAD8uxLK//Of/8jvP3F9F3/7pWg+
j9/a+rNp/vVvfv9s3d9+4exXiCKIRFirFHHGrpp7//3378BGmMQQB6ZUple96oioxeZvv6Txr5ik
wHEEvqVpKjF5+eU/7LT8/i0meCLhsyMkjL+x3f+vC/zD5/S/P7f/GBf1ampHZ/G28Mf/6dDgGTpE
pF5yKnEVYOe/dCdbUHqqWHXhhnkzv1UzDGVnntT3glTAmDtpto8uir9UfWK+C7AOP/kF5Be2NvDk
zayfDnydzAFiW/nBJOt0WbHnlWiNhm90qJf3/7i9/6+X2X37FaSb6Yd7uc7+sDT/P1qMqbySJP98
IeZt89n88xr87Rd+W39C/JqCI44GjsQkgRgca+m39SfSXxGfxQkSuFOa0uQqFfp9ARL+KyUxZzJB
cBUjGAn/9wIk2a/4DSYk+kmacqzS/5sFiGX7YgUSuFCkSQJjV5phFVK803+ms84wQrCjVOmNrpLs
uauzvVxCM142zm25dttys8IXpemvcBUR4mPLlbojGV1mANPgyd2MeEzuMYzv3wO0bR8Qgc3uEzmC
SYrKqJG5JaZZrlMI9p7sHlU3IEN2V/XNBFN7N48wTQzspgaj5r1M2fRjn7h73+wcyR1ZStwj49H2
KhY1+FQ2jopsBmrgY0Eum1nJ6wWGkbeZHacL0msRfALk84xehm9lQqL0fcR2kt1qZ7vbbpCpzVuR
jc99W+3xuW+z6Dbu8IcKmnUr5HFsZWCEqertNnUoHWlEbxmskj6h5AGdq4tE3xYzD+07oPPx24oG
L4+ox/Ha6bSBDTB0OLDrYSffZF0BrgdHcrpguFkfkSAPihwm8LAGBBBwh2eeZ4WZ4LqvJq4wZGWp
eYo0CCa5WtrwBFpRd1wxz74fRdavedwjRRf1LlXLY+3C8gNUzeg1hiYV8OO28p91Am5Y3kTVCo5C
FOaHZuspCB4xeIDHCm42DOOatX+yewhnBl7NcQlA5fJxRqZb73vw+BY+3YHkRs9dktSwoMni9Kh4
J09koQbOhumPxg18xttCXjCoP5k5dVE/L/kk40UUm4vx6aKHJ0BcQdz7BLJHD24CeHpwW9RHyxP+
hk4xPyJWznwLDgg47gbcRJeoS7/qPvEfE7eyS6S7+pY2dnpiIpC3PhvNPWY+HS2aEPMIHP24iw7I
FhxV3mddbQveMXpZahZOQ7/JR/AaNYYK/VgXMKVRlwDTWzDAO3+hAPefdqr5LeLD/SFhC/2kmnV4
hrmPe5PFMIc7wbspfmr3CN08Rjcgw3V0kw8xMswfNYtBieS9cPfUiPSOzpycY8Cu4MUhg/i82J0o
ALa4pQBHenVKItk9tfXi07yX63ZXeftGxXv1SZqxv0R9ln3kRrFbHoXhVBNDcJumRD6YBTcqp3wU
FrQkzEeKEc0oWlLZRZjnT5bvxwQD7DEXdk/PdrUw8kmZJdDUreZ1NLH9KEJ3iH0blVTPn7RWFUDP
SZUzgLp3cwYs18jpEm9LhKiAaippyB5dD5IMTqujkq6BNDx7XzVXeJvY4zRxg2RE3txlsfDfAMF+
TSIzPyhm3sxG/5CtrYoqBY4q0aprjcnCngGzn+uSU52BQHDlXhB2nFrw5h8rqrDqGbIo2PF/snde
zZEi6Rr+RUwkJJBwC5SRquTVMn1DqFctvPf8+vOgWdOr3Z05e783EzMRU6oqCjLze+3E5F4ChXaO
l0BQeH3VrYcZCXHvmelgXbZoWichJxaEIpaBu/bF2VGmveMxHL+V4CRXmkCf1erEPecmOMxdb9P1
C4a6RSCuQosnL9Jm5zt6hqz0eqfXRm7XKP5LVrImBqwmxryrUN25l846x/FBDlwcT1m5Br3tTHxI
XmQJr6JJJORJmAbtPFl9G/uTo7L3RJYD2CdsGf4xi9uinw96YZkHMZpiZ0YNGqtWrRSFCHEoIrNI
kP6E4TfFpfWHHqRmqq1sD7JStEEWozUGHoqaXZn2wx7qcL1iihUPTtqu35EH29IzknY8wVxVF0zY
2W1oOOEe6iv5qJMp7EGXUcFArQhC8BfY0kRq0+ytBgrokrzw19rMxbHJIE6x0mTJcQkTwFvEVMi8
OmVctTbMsczc5EhVUPtiGq3F7bBAe4bM20Vd9TvSFcYHkevti4aU+lIVzQJ8nip16AbwC65/d5ui
TR6RrpvDD+pYEOob7pGU5ZOeZcsZkVr+0hpRd4oiyh7WTHsY6jG7SEsnuwe0i25shJA3hpYVB6cs
5W1TnuukvyjGcbkVfZIE0MfjN9eV4x4YoETIOavmYs1q7Vp0pahPkrvpZgL0PacxK7yfgT9emlP+
Grpu/6oI9XpqkqG64jJnd0W2mt97q6R1oAF7qv0G3OgmQoF6Jh8E7togJypIh17uSB51/c5yjKu4
WMs1mMIh2ZnucMqX1fTjlVR2TyPZs9VGJyEbnJ9unYi2yNdifQjXnnEoRKfy7Liz3C01MEERm/JS
5aggvSFfa7+z0/QdVetwoeNSRi8EE/qQw/vuh+29VZLI2x4TwT4qsuVo6LX9Fx1N8sGm8KreOYWx
+LLMSzBofYZhNCUWGNVFVeOZUX4YJ7b7um0gOHQbLV823cduB23XawQ0OshpLtx1idCDU8+XhGH+
rJG5/60HZjyvUrC+66oxLmszbAa/jKV+EQn53i0iC9DCZz/wPJLitFZp/Q1FCiJlNCiiDNymVee5
dtDCON3ieB1rqxUXb6jpE27jLL1OzTa6kdBSMIhrGAG3TajHAC+BcFCKSW23RGV1p0xH7y+mJlkf
K4PDmzdXCNZF19pPgFjjNzKp3hFtV+shCTvNU1Eub5TbRT9B3qJ9acd96S3GDIfeIY8hOdaddyge
jae0VdOjYql5C2dyj/0SGwYC+UyA9qrUqr+pJc1/InLLfGI986CI4cxrsLTXODUM+9imjbzpmxpQ
jEV0jsDrqGhKL9faGl/cMPoB9H/k0XJO1OSmuwJ1v4dG6Vg2+oNY+Z2XtJouFwA+K6e2RYDgUUk1
rRdlWi8G6gwekiNx2daJumf7YSzJadC6gSrp0u0vnDjl0GGtWfcDJeU1BgV+KGbvCwMi/dCkbKYQ
W1oaIDbJgxJy7y4KuaeHRbC1FtLF0BFO39C04vdcybRD+9ve5sqcv2WkVAaI5y0vy0ui0bvc3KnK
0h6dWe1mc8EnIAznbuoQrbYQ2fAXSfqsL+jKxxarfTuW9Ts6oewwkXGwizhuHVFpuC8AyMtNqNvV
+9gZ835C9EbHF8qgh9ZMmiOhUBxMjO4I+R6f42pY9qhNm+9YyNfTrFf2h1o1dOKhdVMbbXIqNLb7
0mj0H0u5EKCSpExS/jx2MvaWUUtOOXA+npAumz/CUEzndUmjJJjJl7te7JaFZJqrH2hGjd2kdc4p
ogHvMBVTcmvjJ9ij7Xb3qtez/Zqq+moIXe1A+GLh66Fpk1A5vxf22t3iarimfac/6oiqgkXH4uL0
ZEOrxc7OTY+KdBmmM4fOJEB7Zd7ko5Efw5plHYUZaVJEuFHwcl564ANzeYfav1FR1O2Lqt+UzVGi
7iv02tJvaqHv40Y7sSYWg2fkafxYNKyrXkXjUuKLaUg5RrjNelJIW/aE22v3jkC6+johkVWXY9jN
KNNrPJvMreYHh6xqOFiy0J/YpJrDPPX6T2VNUXO54g5rkMhk7vs4OLq+X1t2o84cpwc3txTimmG9
Ep12hanUuucwuVzSABB7UnQZgbuJy2luSKELizRZ8FHoXehNrSUf80yPjgjLYbpzNwymPj1Jq7av
WRH6ndVExdmODHqki0gmL2CG8mwUGm5ezpnrdduTWuDVAtom52T9UCGvPPO8WgNnrx7fRLOMd5mG
ptZblO1cmZreC6+2y9WAcTZFgJxIb4NZL/OHVbcNHMmwaa9lFhdn2eFC8Cnjsq5lxQkFZRzqZA6r
BPLEkV3dIq+1bL8rutD2oLOS1c+aNlp30SqQhWdhHT8LmmVPbV2jn44JV7iMFEcMymAvqiwvrkfo
xRwpfXFljLa6I2eTCrRZER3jp0VZvDtLov+I6sG5QkWrXodYHy4cx4VbtO0kq3xkpFnsh2U4zL6Z
OyTjlKTdB1oFbrsL18l5RGMLkNBm7bKbKUAG8NsE5Y2FvMnNcUeSuRRosav7C6U2B1atN9DH3nMN
aO7YMeNDvnEgc0JBuxHdGo310ehjdAzLSruY05D44UK7EHV8NK3keq0m1xvtugjyNOofxNQircck
cggRMgQZSWZ+bhJ+uI0YShVHLsTqT9W+rDgb8kkubav8EAuXJIm0o2HPwuOHSDxG5E0d79INX8XP
bjvlPhqiR4zpi6cTn6hx7PAYB6d9m/Y3TOf4eyaH9MyuCQqhHWWCmpdh5IcWynNmpQEs9kYtQStA
rH/vK+MUCUYzupIAubGVBEhvFy+r4v6CDrx1V0z66FHltwZhUkjI/rEnzW/gc45kWdjuhGWY0AMU
ckj25rdibIJuiI/YIuKAsO+bdVDZ7YQmaGfHYr3i2TMPtQzdgK2H7MFpaTGauYa8TNFO34e1kx3M
sLb8qMHI1IgBT5qZIHfVkKTgxe0yDqXaMh4I6ArvFppNQh8N7yJ9zR2chnqnvj3by5Aiqsq5vk6b
K4S3mvJWaY5HU1Ph06AbwwvFEXXqo3xhYEl7OzlhrVJ1sBrjeJeLtIjJ+6vdp9ws5rdeRuGpgzG0
jm1YexxorJdoqodo16PMSn0dqnG+FITg39t1NBc7W0po4FnMHhuHeMZPkj/0IqonT2tNWxy0LO8u
lVI9Z1AHcRkUeP0Mc/cgF25F0TuP6PqtEwsMgqGkdo5zju69hvRv7MneYYPBU9W5u1oX409jQRnJ
6VQ414jjnCMzVtnzyNX56+I4NsTg0qRe1Ybjd56sxE+sGiNEUcSHwp7tw4wbYGcljHAGkp7LdDXm
Y++AEnhOrLu7xGjrE2ZHAAasF9NThFLjtcL7c0jsfih3herUN4eDi+lFNmkGXpjK7HeS5H/o259B
wTaomWFuRMV/huAuQeCyDQ/+FYbT//HKv2Jx6jfXckzd/Rcs+HcsjsOe/AIFG9ZvhqMcXmBKx1T2
BtL9FQo29N9wh9HxYynLYaEm7uy/gILVJ1H4D4qBedWVjgRCAw52TMv+mlohCpFy3FjWA+q4FcXg
IKrNxKrLeNcN1uD6wgrtZwZ9kQccdZN+V3cZvFC0UFcQdJ2BXiCsm/FhEpNLVpnVW/s+14orZx76
PeNBf19BinqlXk1+ahWr69VLnhw37dSJD1SA+FTTcXIHe7paLKbes12J9lRHCMdurGGIXA/LW4wE
IE9VfGpBCI0d8sr83ix7sCbcrcviW2qVxo4CsNI9VCpGV1ilCbM74hrcNU6a8nC6pTUeszFM78fB
ao4NWsss0OfyxUKU5/pDqA/vfDndz5yOtAc7ksOjwqqDpl0Lc84NhR4eJmCc1Ncme6rAFAu5t0x7
jPatpO1jn6yTWQUdCr/rpNfF5GVxYxZBpOpVXBoZQIUXTjNKLxCBUB1ThWv6aK5kaO+APdh/XdaY
2U/iUvtecc5zyYhaknNF1d1bA0J37gxhCq8FFmHVNBSt9E5O2LpfSHCSIGvbTnkVLeqskdXwSvvF
ZHr20Fc/jVUDSDOVRk8XysVzuCbLFfLMjvHLcrvGGzp3WTyrnjEta8Z0q63aeJfKtiBeOtYYhNI4
yndLM2kvXWMuxKc2dlcdzKazbzXDCuvAYMhD69iRkuGTyJE/VjIfF4ymgm4jc7XxB3W5o3+gtHVz
P9L0/HVVvQz3sPoc8UO1pockaRP8xDXpu16qshU9Kk1XJ/wnHIPrcgyMtmtua5L2b+OxbY+yr5r7
OHXEdTMnloa8PS2mADGos8uson4TSBWuxZjKwad9xfCrGtUgvYnGzjaz2ndnTsodBRPsLBzd6fVo
qn1l6cs+jrL5WS0hbtiodI+dlXVPc10lz6abgohJtDZophznpUAY8KBX83xbRnbnmf3MxK+7002q
I87NMwvnEunCV2gtgG35WweVzygB9YnCDITzwWAiuY86PtKEm3lH+MV6pQ0YpZFShpdwvtXRKGIc
etRUHCwRF0+tbtZ+5chvqB8LD63hDENYe814Gg0eA9woyeK1zK/37mjJiyTmm+IJc4KExJhTE7Yi
CPtk+VYztfv2MMyXskc+Eqt19BuKWRfPXlqXI6jJ9c+MMLrVLX29k8a4ybbS+YZ7nVGe408dxBWH
J2cy+7shrA2ACkt/WKNpfdKK1j4iZF7c/ZQ2anNA1eVTHpfGs8mI/pRV/fAxxG36pHQLaNgZjmbG
304FhkIfE6h9uxhF89oYRXdXFqb+NrkhiCRWb/fBSAYBBADEwYkVTwTSFyrdyAmQ6W6SyxpE0jbe
0Pv3i1drnYn4GGDHHPMsaKex+DGzqWLllfb3NNa6XVyQ6BeMWGHvpaPC41LjpU2KKn9XXYhfsWoE
SfocOJabVJUrnIBI6w8jafSn7UZ4lKtaP2I1TXXgTCL/tjZC3S3FfKuqRBu9Oe4xfStLn/ieWjMG
ueHor1KimzgM5lxagZvn4bWUCuEMa8R9iPvgZxFnc+Uh51yeKXjKe69jaT7S0sY0kMpQfmRttab8
8rKJ0Twa9uNADxTAHv74LRo0um+LqHyzW5OnfxxKJDVOnd+KBE+NX7sl2hnqTs8WonXcSWuy7ue6
52wocPeYSUjloSOwOtncA227NPvINATQaGi2l6uwmjpo89bWA0oq1mOOaBjcEKvVraPLfItx4yGp
bcvEZNsb3X1k5M0hqea4wnszdA9EuyY725bNhUhd+yTtPLyPcnBpgkGzy3LDqjVAa6T58zn9BLJr
saR37ie8XW1I9/gJeocyGi6yuQUK1zXGfl1f5NnekHK8f5zhKVKPb7INSXd/B9U/AXZmzvVusrto
OhrMHQ+hSPLHeIys78aGz+PCVYQf4CNDXztdYrW2z7kxFugYB8rCtIHowWxD/NEOL8exmq3LLG3J
fML3CzmQb/D3ru96G2A2aRLLn2y3ueJRML7ZG7+AJzY6GRvnsLhh8TbjVXnTCHo7NO4G9E8bT6H3
PalDVWI8jkjxd+vGZzikOZyjtq3/EoXR9IYEGeYjklbvUMeyMSIr2RRHlIfwJMknZ6KXH2FXwaJs
p43joAFr4CvTlsDYCJc+pIcg3UiYaqNjiCOGmVEbSUNADtEaG3GjfXI47SefQ/kr+61Tu821G7O8
INX8ZH+mcXrTPjmhuDCwmW9EEWVzcEb6J39UfXJJ2NbKq3AjmMqNakLqnLKzt117V35yUdSJdx4F
hzBUSOWTcznC83H/Q2F1G5mlNlortjrAJlOmxjvSSGTqmjFMAgZAJif3kxkzjFF8s6mafWLPhjlr
P1k0tRFquICsU85oeXBty/3mxq2NcLUlotKpUvi4zBi0E7QWLF0yduWjLBu4u2aj8dZGE+YpLhf5
XNXIuYLZai+SzraJDNlowHEjBPtKGffzRhKabpztw4041DcKca3W6XYtOy6Iy6Lraarvn7eokQ8U
NnQyT619yDdSEidSHqSrU967YWOesX0wgi5Ywp77Tz6zx6zrelaENvwibWv7KtnIzzxssudqI0Q5
sMGNblaBBlzIzc8ufp1XPDPQqIn9Isy8PoAGzYGxIVbJRru6bW0+woRlF+RvMEO4n/NEuY0W6eeU
UW8DR7yNHuU2hBif80i6jSbuNqTgtsFYkm2jizHn8aW9jTPLNtgYfWPTf46Cc8Cx7Gkpg2FFYsr3
5XMqSgim93PglleHdBempm2AardRSv4+VW0DVriNWgMzV7sNX2Ibw3TZvZXbYDZttO6wDWt4Qh7N
bXyb3PFB3wa6lrS0w2iScuqp0WHFSkdLHAgGAMmq8ih/SLhNnpttTESvux6TSRuLnb6NkcbnRDl8
TpfVUPfRrpSG+YJXfflRKweSZGFVRxeaQ5uw/YTdcFyRSm/GNA46IsoVKBHWDW8OB6tj2WYaTBge
uYjuOAIBs30ewtTQ/TUestt0IV3YIwskDCpUnbd2lTzmIlK3UWKGjwlUseaTEyYvBnMaAtp/59Cr
QXp+1lYhHvsslceUIG7ExlGLeAujRp6M8nGiIJlLvl9N/veis666QohzISZzRwQJeI+LiF5htb8o
dBTTapmj287p60Cz9WtVJPo1DvsQ5FZMd2FTJedszfU9dc5a7Pc6e6w3hTTl+KqZVDCGlbEfCje9
1gk9OCOCm7Kd1sFqHwtyBa7alcMiYK1lP1mjlZP00VdwasZSavap4YD4NEQYBgM5mxEsYQlptS7A
eWpC9ioHTol7vSnzkdpTcCjPQqX/DVbKvcazHt9GqtdsnoplkSxi83rptGPz0tm6/c3J7YVYAQV0
AHEEUI8J8o7Fji5PEMv4lQdYgE9OJUdo3FPspnn5gHQ1uqozq2VFBaWB+qudS4Mv/uHaY9EH8RQp
jMWcNy+wiSCezlcE8r6p+k4cweWNvexkFx+LHHvBHl2krgVDZ4XklOQGEs1VQLz4fRRJ3xw6lewU
UiHDxz6svWnaJvMHIJd+z5k9IBiuuFlVPrxWapONN+NSXg2O8hsT26DfYRFcPFyn4sYhA+EVhJkJ
DdopLW7wXQsAnqbJrcCKYZk9VwtDJArjPIW+KONOHmlzQGcPplAcw9Fwn0NyckKPoBgXkpugJnzz
Q9NVlxomAXqxS4rePUKrn7sOY9qht4VzQohGvEFqRMm3SiOg4K6o2mXYm2llfnStCbVTN0W77EPR
K8TJyol6hPbcHDe9NBk58hzP8gZ4rGx6uTuxVy33PDOkG8mC7BvwNs4arP6nPh6PLWlAJ7y75jPL
knVv02wK3B66p3Jc+od5ybqM09T6PGFh1Tw6cOaO5Tft/TZG+u6xJEF2/U+g9F+o5RCK/meEJPiZ
x8k/oSO/S+x40V+Fcgo5krvJkByMD7/Lkf4ulCOEQ7ouujdDOhyJ/yFUclDXKTATGyCCA+kWtPc3
eMT5zRQGryKnXaczDWXRfwGPfDZO/YqOsFkrVHymziiFUulrWUhSWgQUuVhjk3aDfRsi0R+HMZpe
4rEfbwiLehy0VrsvZY9fIM7j+kTICakWZJRl6PXT/LXI2vENyXlyEWbusEOFZPnr6g4efqt+nxAa
dDfbYr7nz3OMT6eadb/If2LQ+IHqjsyr1dV2DVQxsLlZ3dbuFD5CCBCT1+jds0Ro8lY5sMeoQbA+
hVl2u1TWfVbl4ynXJXE70p6eZGqLnUhX3HUYdQM366uHqnJfZg3Llj4xbJZZAxupadNBlGRJzYaR
AO7UKNqX5kEUoEGYCCsCTXv3vp5ZC4ahbx7Mgnb7LsKoEE0d0fttbx1JMmkOmFmnZ6ToxK4YYf7h
0ut1Hhl4fjh20eDd6vofAyqTx3QwigMRTyDxpg2RYI5SQU8Vs6aDt4b6d2AHlIcmDWkC8vI86fO0
+MaK1cnv0Dt8l/A6tDOhqUw84tPEa6Ur1xNhDaHnEHNeee1oXVn9iDdwQULz5Gh5d4obvSDczlnr
0aOgnr6s/y0J/58lQbmYl4w/XBEO1duv68HfX/HX5QCdIYdvoes83LZyt4KOvy4H8jfbIhFLUXfM
Aw4u+vflQLd+Y6WwXVfnWVUShP/vy4FuslJYqGqFNPnhNx3uf7Ec/LPZAqyUD8Zq45gUZm3Q3BcB
voGpubTyadqlEY/MPMXrPkx7Em115lpKhOc/qcvZrBW/rj6/vx9viEqSur2vbSV5BBdoM04y/nV4
eczoY1xJ0Fom7c+6DIzPqvEv7wWejD4eyNlS1lcRPbYCQ8o4nnaGLjI/IuEZLUoU6xepgVE6C6Px
aiBS6pATsBFETeu+23k13nblnF0ULn460nQy/ZJ4rRoScujMDNlY1D6boLaEMTq2dU3+gX45CKP7
sUyrFfqdrqAw05lGL69Y81kx+lY/Ncz1nu1k+iNOxZ46OwXOcurNVtwSE9lR1p2sYdAzJ/7s7bja
dc6EyMbpcuCkWYt/RltjT1YqGVRhvt66jQHD3TcIS5pxAMdE+HSX2itFQcIV47HBw4njLXb5KAPG
rGeg8hXyL25W5SUc5hF04TU1MS9r6lCvkiUFd6zW+IM7RSBvROuwLqqx/cC9iDmzsy9UxP2gjwPh
iqo8l4v9WFpJVgec1cPLNdLWU0JA4O085+c5NvqdGQoA9aR+0YoY6YUw7lIM54fSUudlxlWUkDvl
NUhnfIn760zgG1HwAxqnELQOsY1LvoBmO6WXIFjc6doMxrl0LwkBMF4xm5jwmgQoSWkOkUnqui+Z
C/IO+eeGDEq0Ojuk3LsxBAHNIuNOb3FnGNo9WZcByQudRwBLfHBwWQZ54V4YcLE+hg7evm1TT+jR
R5kmjKVDyr/EC+zmVB07UsX8MVelV8WdCGyTNzfsQgSjI+5IZey8Adbc18voLTIo8KRLnmzb6AdD
ferpAMUBFt1DMok7KgHoguSKZjJ2A9RBD72eRj5GvXc8rmc9I6uEdD2f0LyDqImqSCaSAoxO3oGl
kZ1Y6O+pTdRBJohqGvqDFOmHMOxsl4Xti8V/gJcDvqUfCM/O+OQvI0ShPsPP5idsHhhMqH3CErOM
pzjMDr3UznQ1J7vaxcDnzFuGThM2TXROpTmJIDXD7qbpretEq17IOQV7RRHmySk/CXf+aQ91GoBY
2fuM7D2PCAdm7sgticWaGHUlgg3mf8lvDnM4mM61scTRtQznHwQwPs+RYRNIT0pOJgE37FCjKCYi
50NRByQZ9SoNQaShyCvNwtKb7QgxSVYd7NZ4yYTLFwgx0IW8XT4lP0K0gsQU92STSOX3qvLMuhr9
QvDW9mRoJM31Y9AiMvD5Ye/iYnFB9qfF0/K8I1uBBxVxArkspFl6YaceJ8E3LVVxHkkD9UxRIz2i
jfh/m+v/d3M1JEr5/3zcPpCA0r79k6dl22A/X/X3DRY+UVI0SvCnAS/O3/t9g7Wd33TXEgjp/rrD
Yhn4mzHA/I1t15KurdiLOKvzor+dt8Vvuq6kI3TTMPAN4NX7LzZY3uKfNjw2OeW4gtAQV2enV19M
aK6RAMKzEex6izXOW4Ehn2MUGX/i2vq6j1O7a3OSwOGgbIPv9eVtOrRw6RSV9kYCjd9HoTl7R8io
5RnMxkOEafXwy69w+/s2+seOG94Rm7RJUQq9sLqzfaJf4rtdfL9IfkJ7p/SZ0RqbOEv4QMATJi4l
y4CIseTBGVRKNLZzD6QJyoEHcv0O4qgfROOml+RCyUu9GY0dx9/00l3y6Qpv83rW56z+k86nL8Yz
HEJ83u2kZVmYhJT4Wn0H5pQt0wzmnIVV8T6NS+YjpOefUBGkcGmsIoAg9raxV+8tGub3YXampyVK
64NFbNpHhHrkG7RqT5rhWn388eU0/vU+4eNtNhYGRMk9yf346+UkoFqQN7LYuwFj8FWy6qzziVXJ
QHVTfFpQ5DLR6HV1yns574QmoiN5L/OOz+wct3A+ZpOouFnm+KTr9YWItbs5AswmgGYgm8puxuxV
4uo6jNAdt3llVD+GSM8OBW3W93/8XT67qH49eG2XGg0UE66UJlPtZtb65dZw4IxFP0hrVw95fF5Q
+PvTFgEcoFmNL6c2GTLoXWHttKqb3kt459DLi9IlJ7Ng3JptV7sb5rl/tRmeNI/S4XORadbLjF6w
A/dTLYm8pUpGX+VadEMU43gB+oY9MEpfawvyKAmtF9fq5XVP5ltZbil3yXisF7u4yNrcvmZWas4k
LK01x6KJLDEj0cN9XJQc3lDS7IbFwRSNafyqrUX87tio0TydTLOTZTeIyMnXjLyY1ejUgj8uXmpo
bh9UZHm+/PG1/JdDLNcSnaxl4lCSurS/9tjVCpGS1S3WTg9lcVOR+UKI1iTOoAsHJfUPLZ3mG4rJ
CbwmAC4ujkObTx92k7c/IGn7K6rXxsIz4BiJ0s3zQGkNabFlSXInIq76tiKC8jhCms+nqC6Wd3eY
dOTjIUnM+ay96DKLzvVqR5Gf14nwlkjMZycb0n0/2OJPbpxPF/SXG4cnc1vcne3I/tUlXTuiHsmA
sIlfasbrqDAw2HNpzYuaZf1WW8jubnTdwCScr3dklEUnWVtoEggDqY86mSDfIIGWnwhnxV/++Hf4
N+ursy0hm2UMCNDe5ppfbuk8Iog8tyYLybpBJmYLz0FUu9lDPChSPf/4zf7NWsBAhiKGGc+Bz/ti
xa3YHyZn2bIUl069CHTE21Oc/kmDxtdRjG/zT+/y5SnNnTSxO9lau0wmyU+BE/G8DCVhZyZV9/s/
/kbMuF92QdSULns0OypI5oZu/Xr5uCXTukb0uCPHwjhJrVjfV7uxz2Yrxb0xdyy7JZpHpg4hyluX
RIPgjz/Av7mkrqlMVzF4gnqZXy+phsiliS2Lrkk1PukTPNwcrupPdmFj+zO/3sAWXDASJsthCccQ
+LVH1GDJdZY8tXej1d7XnRFx8lwOaTLezbiO3eRmJgoLjO19w3yGONduVh10mv3ECVJJSpA7DBh+
YhPLVldPBxWhIbXm+86oidpZYrJmGOA8McQXtYkUz6OmqKXFsfmJ+tr/40v29f6wgBk2P4FC57Wd
qzbD4y+3/ErgVzPYrdo1bDs+zgxSypYxCla70v7k1/mXywa2uW186IKxalrOl9sjXkODrHkGNpXb
0WW4IM5HCDSeorbMYR7C4bhZif/kTTkKfn2qbWGx3nBcYmVVFsezf/6Kk9FbRqFP4W7Mp0fm2Won
I6c9uOE8vZDrh69fn7t7LUouCDJ8VW6Z7tW0GG9pRGR3L+ITZx8wOEd5MrRvu7rewkXkBq3WsJ/o
E4iSfg2N7rUa9UPCDOlhCYE/K0IMBHmPMWqaL6xsNL1WdST9kppCch1ijIQJydNwTdH5sIh9q4fW
lVPBdEStONeGlu8VWI3nhsS0y7q4GxoMomUT1TxA94CCPov+RWY6D0TMDDer/WbW6zsahO6mXAsL
y4IVvXSVNtxoTWqgZumiIFxTHQaJACMUV4AiJAEK/jtPXxecAcE8JGWMuqgb343cbQ9mjGyI9BNp
vs6JQUCMKB7rerxtncPA90zSSP9LmBCwY5FH5hFjXnxXpI/DV5CVureaLNuViVujRbUKEj7a4tps
0uxWn+0Q/X1KvR0xqOy57WD8JDXTuSrQhu4THYVemGSwPa4+0vcw4ftGeSSz79ghpl0CeFOSu+XX
uf2AMrUK+oa4HK8cBpPcKkJCT2SWmHdhPDa+StByS7Fzq/lYxeVKsLE8hohOcH4usxkQo+5+LBNK
52l4BGn5mXK6fEoMfLNyJdCIAODnIm4uu2Lu9h0gzFUIkPDUpKm8G7PWIs2prgr+Vo6b1UUliK7l
rnDXpzlCiD5miognZGHQxBF5yZkzw91rYPAt+bsHHb3LLYa2ghRofrahdWC7wjj6cMbePWB662go
duq7TX/2UjZ1/jwl8oABqwKCB4C6JXurvkMaDNgyw6FafmE0S9Cl4/Itj9b+TobLQGMHDRmN1i6P
WhzWh7rSsmutbqLjOsMBZBy0roeUcq5UGCKgDUHxznZ9HaI52WXTLHaM8/qbFurtRQUPeQ2H3gRk
KRKGmRb9XTzkPyhcWH6k2zechKUdEA7fisg8rNUjkKlOYP1y06BJCzXVHVKRTheVnlV/oVwvfiSD
EsxcUstsYZQI8ELpl5oiHLHvmz5YXWRL1RxZdxC28XXWVGsg6kX3CVxCwCW6ea+N5nJZ1G1xU1rO
T1L2Xktib7BS0yAVei0BL8+oAipMMZPmEdiTc6bDzTR08XoBBofWso2e27r7P+rOZDdyJN3SL9S8
oJE0DlvSR7nkkruGkLQhFFIEZ9I4GYenv59XFRp1C71poDe9SWRGxiQXafYP53znFzsKBk+DFN3v
shHDW+IX7qEK2mof2EuzVTGmOTqf/r6rOvBdiHoOiBnKXWf4yVba/KWYwtZvTlcbD+innA0GIX5y
UV85YedDC3b6KAYbPYBbJ3umsvdxr//YMjlBksMTgaIIvalps5XMUn6CkaTPegZDqmdt7Arb9x/j
HvaeYF/5bI/L796XzbXsJhe9KacC7+C6cexMH8tKPq3KtC9jWvE9wZ5Qb9J+Gu8cAQgqEEO6S4Np
YhRoo/Vu1L2Xa/I+bBen5cIoT8Zr+jrY/5hdqfVkmgSFyAZk8yI5HaXTL1wQbRVKkJpfPfmd94iQ
pjMDzvIil2bCgGlUW0N1LJ3LfM+S46NNq36XuHm9cYwSN7yJdVMTgzAzfz7jF8FeZszWN9B2sKg+
yX9tkJqbDBD/k2VU7KZiWjt3Z1fOmx23EIFxkndbwKcb4RWPxmCO1yReTqLSmM16fI35C0ulmq9Y
FRfbnEWEItX6Mde5vCqdU+n7E76CvLc8MkvWOt8w23rsLPBAJHysh3a2n0UM+rR2rHAcY0i5UNHr
lQxXmGG/YZGeUiE3ODR+k2MDOLjWzn5SLnhiw3xGR7bp01k/IN2NAdvjkA8l9qb3Ya3ERrVTHX8m
tGc6TEE+Y1qFHR+qtTsNYkgiq7KB/xfJeVyJ+xisSUTpZK+g+SAOhkbbjdGYBTWCgr52dm6AWo2c
rTvKjmbf5HlxamxDPxkCl2pm1jVOsEbdSWSvV8dtL2khkAbiD/nKnK6BjW8WexF7+PQxz2MUcLL7
LO7sd/7WTKnhB0MpyMp9MPvrPnVV+kW8DWnPvjmGnsvNiYit5b1QwQGJHPDtIacdRFm3wUFZHZWN
ktSCio3KtzAfSjwQu6Hl8M6z7tKJv0XKHCF0mfu++INH9o5I1ZM1lcvVTQr/hB11OXmrl58w+yxb
pxziX/UaLO+gt9HBWqW4zknbMnN2uAuhje0Rz2SfPtjlSDkwunXre++Ac9FGpTi4czvhuk2xxBJs
s5kh7T0x2Rmwfo/NPWBkeRp0L2F6wi5OY22+WEjbLmU22Meun/x7tqSs9II8edAVIcRmH+hz6+U/
MGjzF3QjZpTdyLc8olsS23/7lUx3dUm9GHrd7XQJ0hScZamo+1eEEcfesbc243c1PkoT83jv1o/A
btsQiJ0/RFhV462BbuLBbt3mOqyZ/JFZW717Vi0jRBdvC8DNTZOaXH/toPdy0l0QDuuQ702Hcanh
uNXdUKBoCmyHoFEPYBvaHCAA2NGfDamRZc9rGeidp2R6bG1P7UyIcEzn22azOhUPfjx0htrMtesc
84TMmdo3f/nO4D35/PqQ5YVxqQkFeFiz9gdTvdgSLU2ED3by+hmG/BlE/sHrnb8gEO8SkmyfAGa7
m3nRxSaZ0vyobT7nBKBn1CJpCRlHPfSJ2uokht3axbsuribFgIDwHW3g7pvIqnochj55pcV0b7Eq
mdjha3dRAfa6O7Ocj9+8zhPXqhrMB2uY1J2Na/phnuf+p8cbXoW6TdOXqeYvg0BO/iHmIPj20a/f
FVmWb62UXydi8lM7t+5EiIybGBiZ2+RUzfbyZQW9d1/pfjHQMTb1tgu8+qpqrz6mba7/lFjgR8Su
hjolKOX2faNsFXoiE68QJ9ooh4DtbxrJfa0Z/7CYcUmNcSblcFWObfziKDHyzS9RFvYodfYA02VJ
ndmi2yOJYQ2z3irfGhnM7xjlSxD+rC26UKXMybc5sjXslU0enGFwkhtQGNPGphmaOWwM+ZG0XEFk
h5UfrjV6+0AaBu4tOJ7hNFXBQ1C2ir88OoWKeia3t1oZLdua1lgfZ5CelExdrx7VkvYPuc6veDh/
O17+a6yccZeSjXTXIfM8jOP6DmWQFxorZLSkRXcY7bXZkqEBhuF23ZiWh8E+QGN1GxEB1quIPVCl
P95bdodRMx7TnQfQ765iG3WLboqh96XTLsZTlpMCAdKhRymLTwz9E/rukzFn6q2e19MY/6yOd/Un
64VAri/Rpkf4z59o4d9Ty3EOVWJUl1ab/qE3ay9yzMq7LzXBH5uyyapNYwr48w1qh3Nlqg4iA4TO
qjRIQ/BKizrJl2B7ZTc8G32BEwNJOwJ6ZY3nokabGGK9kF8kxPmIiCdrfGpjmVzKYH6O58o+4HCr
P2D2r6z4J9M+MFqa/ug8Hp7Xymv3y9xgA1TKOxDgkZDLwrX3M0IAZvgKgztx3BguvK32vMl+Gw1d
gxEynw6afdZH3Qwi7MTob4nkIqEuCe7sulAXt2DggjsGtqfuM3X0ZD29YTXk0vF9bbcsDFmbusg9
fwgzQJk1xm72l19Tb0uCWpBvLYbLxep2CMDWtTfuiskHuApN5NFD0JRuHUat284KWKE4qSHDzCWT
EYOtt88Dc+DIdRo7EpkFIb0P/Gdj9mgYPIaGrwhImg8advPEiKLZd74V8HKPwZ7FJV74eL3A7I90
UNU/A0PH3WwP5hfvsLVd7Ck+FKO/PhnaHLezF5SUwWMH5QHD34OZ2jFrvhlIeZm28WNH8bEFOIrd
kQTT/Rj72SZj/X6qEv8VVPIdiv3mN5ky2d4k7+TZ0UbzvErbiFBTLpcMiC9NXeBegsAyP1NZBlfw
4dYDdhb2Vzgrv29H4WeVNOnzOFWt5AcL7Ky5tELiCINXWGbDi1fgJd2MQ/bNwVKeUz3Nr5OJ9nmT
eUWDXLCvP/EdtXwNaXFIE3+9L4csOYs1aS+6m5s7XAj2USXjcM4E3PTGsJJfmRpjPN1JzQvE7GVy
fdzdFGy/KrICVzLZgnJPzaMAvWikL341B4dWexo48Zhmj0wG9VvhMBmcjaW6awLdB3BToOGbfeox
Tlm75VBTr53ccnD/TKK1bhkJpITaPKoXOMVLnYbGZFlH6dEfpyXd5KHoGMqGdTaVO+z09SGtpxwF
XtV9tLljiq1tsjjApEAi0IbiPH8dUVfAlF7E1iGKuCdQraKx8ZPKvG9TnZ4N16y3QjbqoONOh4Yt
CIZY0u6JazLHyrSSQMhFnEC+8Zc3Q9T1K7pPAodLn+h3tcY0h/VwLrz54sVAPkOfLOiD4kswIIiq
+i//ibh3YvffbYvFRwAQGGhC6a18eTVSvO/E6lGFxFZBnBJ4glcxCAamJuwBTM5Z+10qHAh61daj
0BXRNQYFzzkGbfEFEzj/QMpdd9tYIOyJiK6YsivahWFftjbF7j/Byg047LBLlitfKCN01c0GTRXI
KS71ZT97bnUobMO036o47v9qKy9prZkc1neWU5FDQGMgJ9SNmYtcNRbesimXops2VNKG8YiUFUKz
wDV8oy7I97GaK5IWfftarnZwyIwMK2+lG2j1VPh5w9sulb+lz5xANUzYJ9p1HbFsFlmQ7qp6Vpuh
IXdHequvtkvfLdY9470b2zmTLKpQqK+hnFr8z3B5QH0G/WumJYxRA2bK1CJ66g1//ruqYIWqbDnT
3Wo01W9JRgOcEgJuooUbFgHmpO37yqvWX1bt9H/hYLoP5iqNH7709mOMgSmEEO+HO65CjoF/p0ZL
P1nOfeP6IIqAju601OY907CE81xX5bTRdpnhhm3UY6YD8wyDOv/8J1jam1r/d07OAdN1Du5frfCJ
O/Pt6ZQPqY+PeTJqRNCTqz76Nmg2JZSPd1ZKvFe6zGj0sua5Zk9/H3cyKXaGb/8uLQZQNzq1Mzgs
T5hn7m+I6qIgYGeFMkA9sxrJNVu88mUe52Fnmyo5EagkMIQUBoOPbuy8EMtGv1vqdTguVWttlZF1
A4iMpvuFaE4fcq6vt6RIoNv4fuqSSTCJ/q5b8+KroVzaTlMzHHhVE9gao3iCQW+4oDsGAhxnXING
NMxDXEfzvMQ9cSTEjjuzXh9yIWgM6IZ/W7L1j0xXcYTo+U8v9J+uN15NWoCwzLEh2aC1N35jOztn
4gjFbjW+dSpJ7ogbC+5zsAx/tHcTIa9NthCtGHAzVBTWoW9Y3ogmTtyQ20QurLMy/vTIB1Hwevbf
3pJT/337IwAcuROyPjLyUrl1EcYjQdAZrb3LOhMDn704oRJAh8kidGE8xLTg65vsOiJKi3X6nWEQ
J6zUhygzx96Thvn9MHAGS76seIMLnrCxoLDHkx7a9dhhFgt5Oz5Mfhc3JGDD2dCYFHt3WGbi7hJ/
3nQLxKGROVyyD6obrMqfHoEt2O89X/odckeQAjfmGjuuZst0yX7jdoocA9FOmMeLPBtiniJqGage
ZeFvbkzxtK7aUwBtI4qHVv0s5cy4rRqNfazodY0ZoYbdTgM4qXrxsNeNvAcG1rSekjYJYVVYUzjM
XMlDYc0IKlZj35g9NJYOMFaYjJY6I5qpd6bTeUecIIkZctKJZ+V37jejjDzYTLkPsM3I5+Mq+msV
d+kTlOewCoy+pAcc7Yc4HqMh5zlc3IUIUt8ndJXv+AAg3nJYuvoTT2wanBodvE+G7b2lq+veFUun
MK2ugtFsNW8kd+/dmLv2g69Hd+NTrrxr4eanCvxVRHGgttaspygDUB86QTBhBPVhcA2msWwD0iDo
geivLh648Z2jJ43pNsi+k27lAi7jLrIla7QiS+rXivzBlyQZ16thJN4b+3pCZj3yCAhdGlt76ydm
QypdLmzkPMNNfZmVzGBL63lYCC+zlgyGgDOoo1ihbCubHNhu6nK0nQVoPAeodxg4c5XtJ2pJ4FYN
YJEMfVEEaipON0HqJJRbC5E46GWIIzSIldoFBGqtoHygNrGF9tdo6VtV7frMG6+D8M1DSXlPUArj
kYm2y8oSAOqTccnKJT+3TRPf+W0FeqLpys00Sfd+dur2cIv22Pkt8QlS9/RAPSmDXZwrog6bJ4jx
9qvAmVF31mfWuF8BktRQkveakZ+lWwgMABQ2NY6jYSkf3DGWhHml5lU1EqBKbft31TKVD1lfvNRp
QPBLqVOgF5Z49jrHeRkJ1jiCX1q3+AefYwvzlR+70xVIjHkYS5JwZ25SmKD1TY47XmNjTZ7dtar2
/YDUyKqYMjPQtR+m2oG04qphN/YYvVmGfIx+Z56wrRC3E1dwvTtvP4JeIG9i+DvQrfws8EhsZczR
DXEdzRJhHHFhYZGp6mhaTbltMe3tvRR6fQl+u+EJt5Ptaq/pC1S0HU6OrQ0b7yjYdW3Npf92+mo9
JdNkP/rjAOOrK5AKhQYnac38CQiFOe4aEsjaUA0WRiL52JLvgBOrUDrqZE8sLsCIlBCnvFIIg8sT
oaSE5RnbIK/POjPGjyqQP6NvJPvRmMVxqQHLDZhBLqPZRU3v3lvrcDAU/V0zJM4Jivgjs9+G3cEt
6ji/NIY0f6dqnTiaaIetqZoZ5+vlxADstQgALijTi1g8RFYGTzDRozrakICSGkH10M3lD2nEWQSh
/HNdk3uU6gIdYdYg2xZWQnKh8i2uA4OoCUkLtMrs6FlLj0czACAdDjWbLEoP7yQR8+EMoUF2ywVv
ty1Jp8Ilx5CSdkISxvVZ+zgoK104G7txadrHeZdw5m5MLynwmmbyd1PVzrPbJvW4TVIrJSqYyJad
s+QDzs0FTB5dRXonjaxw90B45EenhZF8xfwAr2enXPreQLzYjgdxadJM24pFbwveWxJ5Wne7+jeb
LwsKRhkd3r7YcOLnVtkAmcagwfHsW0eCiDeJD7+rlRZYnFrDHzlob82+Yo9waDpfHqkuE03+ggM6
Z+UIgiD4SjJMVKGQ6NPMFs7kyc3oT6KEXO/pIwjy4hIknrSPrLORAC4j+xEWtPl9KTUeomKeo6m1
mImSQAoLgPvQJQXpdp4GkK7IHbvmky6ex8HhtOXcqPd2vjLTnIgMQweSud6Hqsvxa2ks+fOPrIbO
CcYqnALqZhzzdWQR275boatFsOTFcMgl131p8q2mGdR0i/B4jAuJ0e8Mirttbk1Y2+fBu/NcyQwf
OgrwEdzva3l2zQZommofsTcee9zrWFa6GxLgUXK/w0N4JCHn1OeD8eyIaTFDJ6mTi6QgeeCJSz/i
Nm/piNtw6hPz3lvAkUko+MliqUOpMdzKeIE+kgd7XQWfOtFX2c7vyBVnFIAxZUa+YsidsYImmHT2
Tt015wD3RuR2POhVxrARQP5NZCPGK3d3zQ1ZMCXLCWDc0gbQqQ6GMyf4oXT1Z8XoFXUOOUq3GO0a
YBsU6pieCZU+KhOXrZQK+uk5IKvxNRkVfrnMZkhdyvacI2Awy+Kht414S/Y2qXN+ypCib+L4nX6h
Mreo0tqNV9jrUTf28JmJvK9wCS7zacWGlUQadCeFb8ZaGIMZCbZjwpGXRj7zgiVPgsNiinFj0upY
nD9VczbLWj63kHEotJifZiaELyhqHz2kgv1yw8EwW50fskZ2GyLT1/fFo2urIlZZTDZcHpZHt6ve
p0nYl2QVcbLrB3v5VGZWHEaq4wcnGFwS2VegPliyKK0J242afAnMh7k0TAA6Hh8DejAj31d9Ej/a
jIa+6U3pQgi7Omc6qRlU8PnxSRqpJ7axFOUrLRxWja7bF/ANQFSYJycw2Bf0unithhbHlJp2spre
hh7rBRFBryyQ90r43qFkl7QdVzKbzQVi00Z2khl3bjyS9jBsOVeyVzyt+G19RWeiedBQiprd33rN
zor8JXziC+ls3aaeSiBDJB3Dg3KKaPUzJvC4pFPLJiUcpQ3BSJYiuHDBIMyRO7ok9MrstzVaUiFq
VNOBiIvuHXoHs1XXaY8yt9ofMEwmOiiLB2TKOmKzKgKfn0sprDlqxVAcCrwmDNfIOvFSv3q1Zhei
D8haDbbEASZbT1grde0ml7QtzoOH/rsneAw7W8vKwarKw9wFRMx35niDFFbTel3nrD4gPJvIVUp9
6wCGD4sZ3H3WCTAx30kdy75X0YmoRlzz7KpYMyeeSTOT+PewA3v6iWBgiFRWTCPXWDdLsUUAi982
zrGztFMToDIV54k65k4TekSqI6m6bNPSecGs9o84lsG0iFcY+MgjHM5vRb+SpOqv/hb3PjZXX+SU
deTLe4prcErlXvZUUMCiBuuBDq4J046tot607XqBgdfnmfGHrCUj6jwYosWt4p1WK7ui12vOdqBH
ZNJl/pSvq3vgVbKfAsZBb05q4ToPDLnBplzT78khtNbeimTRgP7K8dSwyyvu0Tk5lGWa2jlupxMn
7hxB2/V3I6f03kWFjWe2u23G2lj8IlpW3cVsgTaqCFKoWLZ7HcFigXBr5DcYHS8OmepxecCDsOFj
wPVIJxAkZTpOG2ZI9sYESRaqwhjeuyyVz4Ln85IqwaOUkAA4EXR4lUi1IC9ZhHJKG4ImhywDKu0c
TUh1TFOKJdv4MEKes0oVe5xWw6825qxrTJuF/lSjbAsXM+crrjD866isBZulBI8nCML0m+xj60MC
2nxcLHhfrBONyEKoCHbGlhFkHx1ZZuLySZVNlNf2ckoNnysnaTTfnalp/S9jMj7I0/uTaM9+ABX/
xAPFtJ5pUlSVQ/6UGqIaN2Pe3ToHJ63mc7CyugbhNfXjvuHwTKO06/WBx7qlfLQZmU6Vn5LNmSWv
XmvCbOci0uamCUg3hdLleUgG1gBrvYgP0qu6byuZ8C7U19izh0eCV5ZjbZIBSxyw7qJhypHPpEMW
XxKGRc88XdmvolbifbJsMG4ewZyJIZMdKaDro1s3ZdQC9WWBumjWzqUw31FdDq+YwxlM+RWEgnwV
/jHtrDZCNpb8CZLV36iYCEFCgZbnNmjVfY3jdcdtUW5dr+vv6tlU9KOmtli/iH90yWM0Y80/GTnd
l5WU5Z1cEnEkKxOYH3cIubmlv+x6R69nBi3DcU0L46tIEvcNX65/R/wqYRBG2jOH9dL9nOXZTgzu
trTm8cfAL3L8Z/yQZ01uSbhuBixnmp94IktKaqf7gBuXf9sBhNEuTdZnz7M0nD/6HbVZWB+jYNgw
NQ7RN/LPginJywLBcYxYbvhzZOqhfxZz1Z8dwvnk2fRrfTcsAgu8NKZxK+m1Dm2WskEnNvNpsVNC
ug23EodApOVWuQMaFaGY6gW59xJr2zqningtS3gMbUpr4n3m1VMJdB4CFsvXtKuQkBhIqNa+eTAa
49WrjT820s4Xkl/bazM68c5o5uxW1SL/d7LszSRk6HEZE+/Fngt9hfpG/lx+mRi17iwnH9+Lxu2f
pLDnd4PMgG2OEOVkN5lPylU8vnOsvLtFaT8sxq0+mKribBeOdarL3tyXSVo9JZApo1jq4kdDg9y1
k2VGXaUzWhWT0wGB1YHeMCOXXFlDGiH/kMRi9u1ed/76UWFAgti8rNZ3ZRvUY70yjbCkTj7lmSTC
C7cYzp662vQuXvJEATzG6IM0ogYZjhFRHSvlMvdxh313w66oKSZdyhXiXQaEmzHQ1DGOpqwSF4at
2UmvWNCZ2eb8rt68gwFRHBPyNp6U1/bbCmsaPMPaP42CkUZe/8XysXNn7owSSOKeMjrobgHVLYi2
FFwFBLxD6zI1dv3kw0/TH1RKf3ymrRivvF0Wi93sIVGDrZTvVdv8KdyigYJ1w352ZVjd2JPF4mzS
SsMDSe4nr3mbR46defU2c8liyBCLyd443fLKRqNwNjrzxLHU6nnpxQHFUOSZOj0seV1GICRRILAV
gmkws8jyR8Y9VY9b3TIOq9nelbYDEnW5d1qm34tw2QjxWx56f853zpCgR1ZrRjM5jvmnp5ZuZ3hJ
/uB7WfEM1Nx9kTUdY7NiEXKrRuz/19qY1I2s7rewNpMvI02dB1pgc7f6SbGv+6x//Yc47/81xO7/
o3AI4fI6/5tC8ZaF8j9iSk5fXc2PFf/DbPmvX/UvJ4j/X1JajPAC93/7q/9ltXT+ywwcSdCDIJoB
+yT60H85QQT2appK0wSOJ9B22/yvfzlBhPgv6VmCvBMCJ/gX9//KavmfGlgXQSVaQ3h0cEsIk7z9
/3/TU7q9NJTHib5Fo0yO5fJIEP1f4VOE4IQ24uGim+Jv67Cs/bdP6f/g1IDY/h+qVNf1GatI5kCs
F/la/sNbkKTSXt21HLcuL+2f2PFMbFiOQ9MstUiOlrmCK8g87Mqhlxnrde7VXPJqpSt7pF79dWTA
ZVssI1KkuoAQ1vhLc2Iij02wzYiA2yQJ5MqQ69l/csoWQMHIu7izZYwsqkN6srrauzOSgSwmuF5r
WC/cqSVFVji73eOUMHjCA/udQybbMN/a5ThOIjoCpDVtfV2qW5ZsYuLmRnE/pOBMnbnLr/YscFnP
s7bPCJ/EU4mh4ez1ZIgxA8u5Nfz8JQl8/rx4mfs9vvHqsshmW6gcZ1vePxSKj2IOVrFG8WwukFMK
0irDaeEkZ0emv23XcF4Hr0dd348iecy8oLuXdSVZWC5xaLkZJ7WymK4iJSX1GVzrW4YI4epKPQOO
TdWGhLW9YNd7IZTa2cQker4D77STqOgc48YMt5vI1ob/OBn98DeerQC/WUPaUZTkQ/AzqAk44DK5
6Am6wHydEXHyrxbP2CZWdnrtmxayX+0sbC9LC+VTCMl82kNyS0+WbVK7slgiaIS+2zake56zynk0
M0Knt1axyCc8rh529N68z/oZ9ZCasXEmoKeJ+bzxvdeWSxiVJdH2Cp3bvnHG+V7n/rBjdlFHt1pu
l2fDeqpnrV7b2vdIX1a9QVyBLZs3C0INCfaGDyK2mBR4MF8HzVNiEUMfpqShEiq7jEO80XVbRU6v
giHU3N/Qvc0MJhyY1zdwsOhGwOmhhqZlEcPM0NZfHvl5U8skqxZ/pIEBeJuw+kB6PQRPqTsxuzNh
gstoZL0bSaSVR0Ig0WP5dZPjidJmQ8IHxmy0rB7LqiZR8k0uDHC2a7648cbVNQv1efARPnc9g/eG
q+AYw/VnOE7y/MM4psNnW1s8SEVrvjMYTv/Eg6e++WSya08mwqNXSCjV7VKyL8+cMX3nBgdJlY1Z
srMoosFBmUI/IbfgT1mtVKAPIkcxWqCFf6L66O/cNYefGEN6i8NM56ja4MQvW7SL1o5ycXm2mtW+
1qD52s0krGFFAXFLk70xf75RbLqw1ZJJXXQsgs/eh/vbZXx6W8fvGhQdQKPpuygk9YD2yxtHMd8s
m7B3m6F/nZIAtI3FkPerzfK2DhU2qo0QHcgHl1WoSdPaij9Gn4nndCB1nP1dfHFn23snj9dCwwZE
y9hYk42MhzR6mmahC7Uda9qUxm2dbb9AyQwTpMtYlXK3AF5ojzAos9QH9ex2Jdpjd/YsMA+uu25T
6Oh7kWqmthSqAnsbw2+SGbXeQ3Durszy2pv71CxPK0AzcdvtcIoU7JMmTM6TQQT1wlhFFH7xli9G
QECEyQieFFav+TZNklw3+AyrA3gsClLkbN7CSWh5x5GUAA158qYpUbmfPxlVmT5ZgydHAkAkmuu1
FtMlQ/LxxreUFb9yK2YoviJfw3G7Z3C66cZRzoQgVFaXUqAmWlXvuqFy5/bd7nEacJiZy8dE/NYn
hznfUVbP5JRgVEPTRb9hoNbVSQ4jbVZkXxps61ck39MAW2fmb2qw5bzFt7AK9PMAVhdk+zrSMZjB
TWGs+jwNsDNKsyPgdmWXjeVVB8zSyP2yPrKh16CSRymZQAujpl2nXXzIYVg/GdJXrz70CyAVsfb8
bczY/X1iYvvTJitbhSq9tUkZLj8GOhZ2KSTY6SqZu3VLchQxq7vQs+3iTC9kpk+Nib5rS01r3zXa
TdJ9X9qEhizE+wLvZ9uvHrqmypiptLnxNcXdHEe0HB2511Yd7/qaORhDQY9tjt0C4YcEneCSIZ7B
iXhwOuYEDAcQiTRGVSCBREfAFpfYTXeRPT9FSIahc4eiCMVSxS/x17sg1ypSBIA88CR1nx6Ksgej
6Lw3GtbqTjOPPq0Ufwb3nFse3HThBi3qcflV+YJDLyHx+owjyAdjDKf5da0LSNMLvNQ2xODl/TS1
6z7Pt/DTDAIME1dKbrRfo9f9XUadXjrXVmmUoeHeamAjZx9aNpoYFgQ2cslfNTQsRHJ+k0W5x7WT
uGVShADYiS+pGQd6Yw+cniAMnPvGFzK/8zilMQQAE8TdSiH1mxTH8uzERD1tifwlRxtZjYcEU0nP
PMTwcKG7jn78ZSYLQ6bRHQgXadylFKFPUtov5McQcyuf1APq8tlH0Cn42uY4Xd7t1XZfOH7VE+RC
UqjMeflouJ/vXSuZETuVFtyYcQanK3rUjWFiujBVCYWAd2mNhGOi07pB4l3D7D6nUQ5P6BGJWp9j
68n0emR4ICIiP87WV8mL9E3nELOWYIsOUrDcW4ztFMw7NhRhh97tZ2W0qCLZ9p4kf5iO/vZNsy6Z
04K2b6C/A20oyvuW2cSHHNP071rEVRqJtGWmI1iw8sHl6Qo2YMC56BzX2UGd1yRwaBckJV/cLtmF
5iqdObaQX80oqTtSS5tBITgO277wHs2YKz+iZ3dmGr0aZYNhdw6DzVFuZrvseQloe+begIRrBfG5
0c0vlCHMjzqcHmkumiireuLTKQzalams4enTkjouPbudTlG7EG4RVTH8QZXO6DDBe7JQjJduO5K+
yxbW8r9ba7BPder6Eh6+SAhMaYL+gN7DvR8dQURz3L4Ws+389gsrKLHd8JhtA6tHZyosigSWnt7w
13cNZCzt6IFRdzLpX03bTcDcahvclY+WoN+k85jzdtojME/2YEgjfV2NKD79vKD7RADVnEbtOL+m
oeWJqpDgUAhBREdkx7XXlUTNhMwDuS654MXfrmCjyTldJu9ZRxhaZIzO/Ohm6Bs35lLpbZpheA3R
HwgcGnO13AGmNH7HWTfCS0BXDq0D00REHtDwabcoMsNyzIzPxHAbN7L7JUeIZ3MKBFYFQk8gS3qu
fYUGMNGK2sQR6/Q6FThZSSYGfnaEY2pDL05ixvxFni/JA/EP9tWsyZ/elZM7ge1ay7ZDZI5Ga3At
7wefD9tFh41TUJSbrlVBZA8kxaCtTX9Ns3XT8K1UbF2cirBAYxZqc+nQ7MzgqHHBAUMdhPG9iER9
EC0CHLpmFEjmdR6sfpgMfrVzMiSa2IxwLayKP0wl1iPpTKzmXJluKvSz+IiWTZXN/83emS1JqqTb
+VX0AGIbOODApSKIOXIeq26wrKpM5hnHgafXR/ZRq7tNR7JjJt0c0822tr27qrIyCfz39a/1reoY
B+4EayXznYesMQyoeZW/F31X7Lwgcjhyx+geCD5qnodWuvchJQeLsN54Eu0vnfbZrqMqnk9Y7QX3
nuo66oAmTXIiK7zHxZrTemcOQfJkzBZFDErz/eND8TpB+YMhCsW+Ovh9Nr9FDpykngZJXPyLO82h
knFvUbHSqC90PfXbSVC4gbv2SQkoMDLJtnK7+bJ9PLzbhds1NliYUJsaVjfisD1vsA8STogFTyFb
XF0loaVm/ZUa7ICapS2f9MJLZdNUUaNCREHWflEVszeMhmESR+XYEyTgfJrPDg8iQ29RjtwDOGkp
niDs4DqoVhxjVVvclkzzZZgDYDRPbld0u9iS6VOTt8ZjPS+siT3sBjg2F58FH/k5LSAr10FGlNlt
lTY3NL9gkyyikfN+ptmVh1gGzzXURpsgGZj9DQdl0RL2GgsnrK22QLlgaYtXEu5yHxrOzLfWc2o8
ZmW5J5ebkxvPG/NCcigZd0O/wvtiwKJvs/KDHpusSj5zL2al3HoRU1FllIyIljSR6mMt6ldT2cWz
7k3/j8CleARCODUnIl/Ve8XNuMbL3GUfGStFc8811r2jDIu+bdugaYQ+J9O6BPHIeBhQ4orZuKIq
MRx15PBycFhtcAzX7QOWF7A2Q8ljyFoUH42ENAb8ZuXgiG8kTvGNx5k7x3z2qs5mqVt8AicGo5Oz
cUGc/MbrjKWRxUd3Re/ITru3ED0YIRNgI/45LX3zDHGXBy7ik38aMre7pwYJwdXJHRzkjss1b5wa
wNxQmU7aj7G3GnX2B+0XODBoHuvCLdl9wBIKMZfiAt3Wp1KI5XZKciyp4N0HLl+72tYIO04BA5jd
lLBisdFC3vV8AO5SaAL4XYYGVzAu+tpj/Ojqsac7xxty0uVgyzBzZCEBKQXARptkeKj3oL6oesBM
VN6Xc0d2zWJqxGs9dxF/zOwU17qy0p3B0oYKHJhm85RJajrcnuaP4kgow9pmzJdxn+v7Snbmq1mV
AowjRGJMPf1bhSNuO6RCPo5wpXbgdue9W013XmJMGoKukniQp+DE/hrwisY1SluHEZgh7NYUrkAO
arRL/WVndkV1i8stOC8j7qdtHQU4KHl5f/q9d2hxyH3hAs/v4xFFcBir4EdtjP7ZY3v2LloZ//E5
QLce3yDi6nSXD45iW9ikEXYtfsfcuF+k7Xmo4g17sTHpm+eyG8yjaCOsepqu9+eV4X4pIqq5xsBo
jp5Mxheky/xnpMxFs6qYja9ReVX/0865BjEApKPYVxEspAP9SRomgSOmcFhDGVRaN8UfGm0gEREy
ARycBBxg2WSZTAPNnOt9MTJN5pkfPAAM8bO95bd0iLl65I5jNmxZFIv+iGsmk0KYr2cmttHUxRlE
4ASTk63zkBmpPzffr52BL+3HIMGRr8nKyAynyeChGE2xuEe35JpAzN/Gpy1quFPbxlNYD+zKkj8H
7HqfjZuKKHREkM+h3/vBKRiDKTgSI4MmhT2YIVrbhfz0ae4LU5ScS697fQtGYsF1YCYMpsrKMHGV
DilUJ25TTMxOfRyUbT86gwk5NvZNXomRj1MCdmdMpLLp2T+lpTe7QO0jLudZUY1iI0dhXlXXsJEf
RqanwackfF8b0/AbOdsfDv9PlM//dOW5lu2ujJV/n5Rz/Ojmj+qf1dG//Zp/U0fpwg080/Q8F7Sc
8w8Fup7zF9oeggrRa8RJLh9/V0dpcGbrKiUUm1Ua/S53/h+cHO8vqDuUO6MtQoCh9vk/gMlh5fMv
IiWrZUQ9Lsq2Y/ow7/5FpMwtkYg8Tyosr4hhxLa1t6cUkMXZwo46Zkf0gztocarwJ+eboCVC7U5E
pExQEcduFMEpI1T4FDj8HuFI2+prrXzeNrrybpfFdF5SN+pvWMrY2GLt7BfEY/uWfOd0qvjnUZZc
ggCVEb1eF/HOn3xahNr0LWZ6gHXiGTsPM3FqlNUXBiOaHX1ZPBMy08gnpjiv7X33fWuDkaQlNRwS
UCNxwxzGOj17LX0Xi63hR69UPHGlzsp9Spcrdky2qrg4acYZyddn2YD84HHSubkvtnZGI2Bd+LxW
YvD0m4roxi2u/eqQ9kSbnYmh0m5VvrP9ia3vgHQ5Ttlwq7Ai88r2Qz9xWd6l0rwi9zY3GMqN81SY
DuaJZLx12NzvRy/Pn0Z4xTfYxpZd5snqthVOf4qL3tqxnhofi4r6JlLHqK4Fyb5cubcRr+1b2U7j
oZ1U8MPCFMNcxtYv9oSzM0Sb3xWF3R3d9U43dM06ew/LB85XvJJp1uzrola4EdaVFyhgqkIG6kmh
JL5EefNVVUNDSH3o2nQ7lbn+YQ5T/DqskNIZZNhzEKnoE9wHOxjHX4GX6Tf8ciY2lJ6kqYiTprjm
V8ccDE3nm6fpL970M6Psw9nnkZPeVz7pyxT95BIYybTrGogbVK/h8whrFQThTLoQF5lhG/7WQNOu
N41aqiv20/LLWimg0WgJ7P21RY0TvsMr8VODIlW3fcJUX6BbEPjDn/nFGV09LMkAcXiS9g33mTgs
jWp44+yOd7y71Zs3ZukrjXVx2DNDCpk1l2zU4ovUkruhzYYBKlOtqhHy5ulBiOxPkvg/XdeLbppu
gfE0edGF8LobKl2t7ZNZTbI6GmzqrjwPO94IPeQxqclQp0s/n6d28e5IZR6Ie79MSWVhuPDi8Tq2
ovroetoPZtz2xzj1k2s3NznWlWLHPT46wmLDObxe9h+Ytuo7PeiZlaOczoAV3R+J3UlqSpbReCez
l77GTZGfqlzrn4RjTGSckaBZQkir7n3/ou22D9OA/IF0H9LJah/tcSq3gSrGj8xu21d3spNDVyv7
RzM28WlZr5vsHCOM8DXO0RunBO8PN6NtbuMe+ubGsR2QMAkb38Xrmjt3Svv71G+at4hMQL9JSlMx
QgiMFyYWiX2GcE6Qc85oEXWsR6JfFrI8b4c7isbpraLbga/XLOHAjsLSrxCtvDNT1oyF0qhvMIbS
4Txk4i5d/P6mqbjtDgDTz/3orddfii7h2TWNRE+K03EXFXQARnlnffpyHj7hU7Y3rKSmLiQStFhb
V4zFbqwqIvRV39MrrKWpX8D0Vu2BjZJZbGnjy72Q6Ydxbs7wXkR25l5ae61HUxVUWFF5alcXLB5V
1PIerL3BdMPGYSBfeXfNbkAcSvcL3MTbwbfwlpNPtH94Dld9pG6EwxBIeLlsuMcYaPKF5tLUpagH
BAR0ch1wBr/bThKX9NzF6mEyxuoP1tdVoa5i8dPBnuduqqZPfkwIoQ7p/Zz7qYf3BKhCIRh6cGAP
TOtE1F4sk0bAvLX0e8vcU51TalxJfhg1QqY23eowlD57IHo6jV9xTRqdBH7jvavELRleuSzcm2ul
n13P60tbRzMvRtpxU/qAqmmvxDirgy/Mtf1OBMYPmUyI2fh8YI3OVj9NN5K9hnlMU8HN2cace6sL
aAc70FMwtmB8zMu2N3TWHWaqdClcF279hF0JX4PGdMfFF0Hylwm1Ha4hBrDkQn5FDE9NYhoXr1vK
vSqbodt5KqFVOmvL+cmMWT5tHZGrH2nHFR0PIsacjVbaSXc5Yg80T0OSEQGuTrNSYWVcvWyytAKh
/sxFW54sa0CZ7tHovzpDVm+YfHtsEf1cbOFT0H2aT23xmOZe9KZ00N8UgfNFSK8jGRc8OgjM+Kbp
W6Dor6jlXpllcFaumn7OkCUwxqlR/mQaJ10es0g6mTLGvJQCZjnE1ug9RrjP/fs4j4ibsPmzsJwS
X94HGVHzXeeRWMqLYGCt4c1S01JYZi94p6dLH83xq+mkZGJU4fRhw6JWU1Da6U/2lsy2AS1SJINA
3IBsdRFeR4qfBqgE3WYolXsyjILPfccH4b1B93qeB5lfaOAQxqol8QDWUHPmA23Q4yECE/KiaA68
yREOYqRvM0t3layyd8xsfM1e4Zdnll5OFS4Ls+ymp7f3DB+rffNlVjqn1MsQFCMaOaA9BYh1287s
0ZkqfnAUg5AwMcyeL9Ad4+JPa4yg/aY2W24rg/XTZgBQ9YYRQV14h1ofpjXMb5pqpVPBng7/7NoL
VRtsfwBpFszqPNzqB3TM5aEfaTPcEALG5Om6xg90iOkiZt98KauBQ2+c3EOUVsFrvExkapqgeEC6
iPtQT+4YJoNd3tgF+KS1akl/8tId7rKIncuGBtHhdRydGXBGatc/jbxuTgF774zPaGM/uSxcxg1v
ReMXaXG6EHxsketydFXUReQzKgRqKD5SLOTNwRhHcnDZMMNsy9K6aw8ZLpf3oeyQVyuz+vQSthVv
lo6w0XWz9h7ZtyY0nmj6RrsxWxSZkzq/p28DG+AQyfWWGhNOi4bSXrvNkgc9JJiqe19HFByloZUt
xS9+VhRnLJPfvOp+4BQY8UA7KHWPeZes/n27LjuWSauXKIcZ9kAdGnKkaA3ztcnI62wX5XhXFtvI
7wR7PCB6aReoqxcLij1zdKgh5A46EM1BReJURAjdijyJ3iPJSrzEMM/yruC7SgK1eVX9JB8GnQak
u1J+7llX9fcW7dM3C3taVku+0z9Sk9U8ah+7FHEUU+xlZ/l84mGiwx2Y5ZUUrL3KxA3viMidvaOR
KWtvIVIT3xnzdJct5sBEayUrTb3L7iRllRaLlUp8LBY+GYN42Srm9Oat7Ca+I0GRt1fTnPgONU6T
Hi0SSB95Wti/BW1aeKGDbHgNyBPx/U3mJPQcL/5NuSNLjUIFrylW70PCAoyX3yBu88XOborZRZOG
SLQcMp25R05aPIaltGhgLzNz9qBL9ME1AgVxmZyB+zAd6QPJ1TTpfxJYQkIrqt7+Kpqg/IxUZp/d
yIh/LYOg6S7ucfBRI42iYJunGQPz/DcPxP9tu8x/vkujhHX2v7s0Xj67j+Kf74x/+yV/vzMSgwDd
ZvF2WvmZ3Nr+7qhBxIMczdO2ssu5/v3dUSP+8kxWXlDW6BaTmFH/7qjx/+IIMnHUrCzUAFyp/I9c
GoVcsab/yFujTlK6lmsK7DsYRGiO/CdPDTRoQ+e5xQ0oGnC31Aj5qpZMAJRSqWuVYXogeSMuEr7A
kaTscOIFkRP7LYPmBg/l8OZo1g+bisrvd9mgJqKOVPWpWJu0N4Gfg/ZqcUHsY4yxd2YySP80SqnT
a+e29W9ncdWlrzCFAAGX7KRVnaqRXjHwA/QDJhCZB+QzwuFpkxFG4OaNw62I/1SN65ZYkH1ph76d
deTwirVRaB6nqbpoLBkvjKUZjCw2TFd3MaPL0gN3OVPhJd/aRQt6TYT/3CeGvquXAcv0uPpCYHbF
5xFY62o1TnrSdXygz8Ki4Bk8VjVtcOWnGCyIoY1nwdrB3BHe6IyznBPxZFZs3vY50OiCWP9CPimP
LWYb7ZoecJ48maK7xON+sHOThY6punQk7IlWF/qOGhmvv8LIGXqOC6crtk2dM2SwxpoggaA9wz/J
yuarpRj8KpSR9jsznbtrPWemC3+r5zSU9rqWdXQ2o9cLToIoF2myR6Ivhm2VDqttODCYG6Ru8t+5
US/NabZUARu6z/kDnJjpwGRRcZcbERWHlec8s38aj3MUzbfsf4N7AfCesGaQddOu7836Rdg2dZrg
qqboIGO6k4lVE7Zwxm7isp57D1g75G+0MDvdKUkaZ8Mek2+NT/6eHW4mi51ye/HWqlS9oSY7414z
4PhoCVw3SAF57YVGv+oJvzN5vsxvQVE3rHX0yZkGqiCiMmbb9622ud/Km1pFOIaQ+uiuwlz/rdGN
q1yHHIlyB+YDw1FOevM2W6W9YBX5YmXJT+db+YsWF1mdxT6KYB8twQlcQTaH7bdmqFb50FmFRIzN
aIqlNG1wcUtAHEx+6476W4Ocv/XI+VubVN86pVoly/ZbvWT71597f5ny0PnWNyGRcVWFiKG+5LcC
ioxZRSROVmWUoUIzwK6CafStnZp2FT2Uq6AqvrVVfBp8BvW35ooxDv0Vj3V3bQuZ/1Hf+izOBxI2
kau6ENsJi/QN9nGfOmN7KJ+CIIUoxMoqzzYYoQX7MXYK2WuzBLdgBacdAo/2mKll0FxM0QY8jhQ5
zp7OjmZvZq+V0DBWqnnZeamzXOOgL9izoha3k4jabZprjyJX0rnWCpKvXztth3AQ7KPljhoTtD00
GQVpZfUUJ9luKPp5pAGERfep7NaQH2XwN6YiQYI2WpmaPwAGHcxyI21+2dyermK0yHdwMyjV2RBR
Pr+6js/5287zCL7HnieZ70dFdopd4ZhhWimzHNi50SaPWlXyV15gCw/Z5sAz0XNRLXdpXljz1uIj
o/aB20gzZNUBwmETBIPtn2RAyzyhGFYRN4ZhZK/DPJB+ae3BRdaeWDBlGzfhvnakjYnXPCz0BAtX
nFMJ6xtt+1FPzaXqV9KHmQPsIWuCk8pm26qcLZMrf9vNf3XhyZuqUe0uL6fmvhfjcLAaLt7fJ9b/
P9z/T4XO7lqf8e8Lwv+t+pN0H//lvvv489kn/1hRAu+cX/m3I953/iKXF0CqcZn2fWelNf/bES/5
L1hmJfxPH8S6+z9lYSv4y8JV6plk0ohVcfb/myhsib+koKso4LeTjqBs+j8gClv/eryvf4SFIo0D
F/es+6/UXcDpxmipbNh3KqY7M8Ek94x2URETrQN55xCRYhtq1e2ejEe9d8whg0gSu+E/fNv+Fw5a
puAVdvpPgwYecMYgLIs2g4b//ZX+g3nXdEfJoj0Qu9rq+9fcn1UYySA6jXEpiDKnwXXCyEWAcFNG
BImaGmQpHDUglkiF/Kt0bxDsP9R5Uv50kwZFAvsC1kf8DGGJL+feHObotAjMDXMQqNsEzh/Qi5by
C6c1xEPSd2x/0edOMJ67rUGIedhOcQECrMvJsrrevKvoXNgmptLvlmBpux8kydqMHOtFgmrjky+g
G1DoQVZIKyLEHXeaD66hFKxmzm2Z2saRyy80qYWY34fpmsWNi32Pt1ZbKLKMZnuZKGhLSST+su2B
cjMgl88QbxASZ5vER66R24oc8wQYK+o5aGz+NXh+f1JEvO4SZ6BMpbZEKBNf7WHTDfextFljVWKm
ysk+F+BbptTAuMJF7IXaKWiAmcON0cks+W7RHr2tJRpxwhCwV01un3BQRpAdbAEFJjb2/F+oRKSC
Jax10h17iM7X2LD1aaQDAARDsa/mmJMQF9BlHgzglpwuu4Z3JxpNK/KtwrS/52Bwd9HgzLuYfNCz
25pNGKQrij2G/VNU2n1ntx/turnvdnZn0pDX2wt/tfZ+ybnel9LQN4gn2bPSk/GmdTvuWUNHR+Gw
DO5qke7aGhXIXrrxT1tmIJnKvHpwELsQ4aShbnRTdnRZ2k6IbWvfTyQtk/boV8aFwlQ81JMh96Pp
3cHAopzEZErbLmZ6EGUlcHuAdPbwnh5ye6Zit5dN6CTzalgzQiwlYO8pt+rJumCHkRvAAcghqq8Q
Ibv0aONMCdGs2tsmz4d3ME4DW24C8EscY4SpDOOXt9Cr5Y/VfFvS/hgGmueJflZSjqrPdw0H2vq/
5J+4A1SqMaS8LRzJa4BjnG9iR1PUkdTWgzmxMFFMAXdmYyzbthmnUC+c/cCU7tIV1JKUajk0eH4f
isKlTnStuHWGKNu1i5FuS1vW21Eu6T25N3LEhNB3tkhBTKtMAlsTztZNWvhnlSm2I6vmY62b5rWo
bA7vFH9bxa10VwXll62TeGfpoHzGGo8ZY+48Mmr87ipp5XHEH06nzeScanfwDxUy586uZljVNVvl
LZbMYNfFpg8QhcbwLrbTY4fdeZfjp5sQcSBqwHbt3L1CxvN4RUg+a5QghUYzeTbE+7k8ZuRuznOC
0KbsSd6lvWE/UmlIo2F/OzXLcgjG2gUA7MCSZudKp5i0bmI/uQt4ydBqjKFblYQJaS2MzQoqiWWn
v8knJl/MlgwosIi3VrBEbLe1Sfei3bJQs4KjrQp57saxualwHZwWJGSSLh4uBr7sbatcKowrx/4Q
jZ+eZQabf9BK/aaKtH3kzYye5dXdT9ESQrW8DCZvLDHRNbAeK5wWscxPvuNuJx5+pGpPqfng4sXR
YUK/Gq6lZp0IE5brVKL6DSxJU2P/70jaKN3EYdIZ2R6sIO3pyJvVJopiHHpV52G3aE2bWxwLgYFQ
vZaEgaJXG6D/nVOm9bIVblBD9kgKfs5Bijf/R2n56sEQXA43wuy71x7oE63mUXwnB9ydHH7ge+1k
3vNOmw+4kquznsvkR2NVI504MZsqdmYUy0x2kO+XRlekZ2EV2NeEXs2z51AjvbOb4HMm2RQDrK/a
nVZDdfaL3n130oDwasaFaTMONqwA7s0HnDW4dwOoN19pnc8NeYFu+PJ6f3XlLsM7NX0gqGR9VyXG
WzvpHu6baW0wn2AoqFJU+oaiJOwhEsP4QojjR+HlkkhSEtfvTtkVpyBDyAtM7Z0iTZCNHAUYQhHp
gm69iEzDQHTg3ko0dOoy0tgUZTaPwbUpIyv/hDzSq0eLi8gTITp72mNtbD56PgofUSSq17pIjJs2
luC9opoDemfBuOHTi22uyZzO4JCKnFccIO85OJgLfdpTBKoTfxsX6IUc6YD300xtbW/l+vzHTYeP
ffJLP8yqqt9O6SxZtQn3kaOw90/ay4rsYej7+jQATHxSXctIYBFKCW2oY+4tCID2Ky57kM5J6sm3
CiDj75m93mloGvcw08RygWDufwYlMPJNJMzsaOAEvkaZM8Eog2H1RP+rvKnWQpM8L7wDWrGzcXqj
lY9UnbQ/uPC2jw5v6yfQSu0xQ+4l0RILoBd54kvILv50Yy+RfSQLHrM+ZXbRToSQPWrvtYd+4N/1
EFWz85g/svv1SdFgwnacPGaRXUd4KgLSvFQfd+kP7dIluOkadnZY1+PB3qW1cn9KEHTVXbaA4NoN
KdvxDQxoc1dYKxeNXCqXFGivvG4NMuLa1e9F11gvtqHtJxiA5Tmwencv7Km+i2jPeKnoE4e53GNF
liO/BbOWpqG2wkJdTKk+tLUYLpbn+PhofePBnQV5FgCm20ov9ae3xhD8EU7kVsTR+NJNFrzcnKgA
Xvkqn27nvKQOjNobYW+WZCQ5E5fwtjOL5l8dxyfKvOmB8uBQ1iAZ3mJIezf458otLj8C6SWLZRB0
YruMnJ8lKT8DifGU4Hu/Q46GV9MGPTqpWRrMYv5hmjKk+KrETNlvaXoZpguhFaqhN4VWAtbotOhz
X2fJmXEG2UBYWfLM2CCfHdYF0xaHQaUPxFCt+7ylXVVTGUIVNNFQki5298iv2rvZnB46tSL8S7fi
Qmp6Fx338y6pcaSyu+v69yaSpI4ydya6LIY9W7+Y48gO9lVL9ptGx+IQ1Ut8N4KS2Q8Oz6iTdP5V
cqMDsoHtmOhq43wm5mnqqnd22h+R68ENzc/Ce+9GbYttMUJKd4jX/GK+pOAczzykTNipb0Yyt/f0
eWU7O6cxPCzofbnFgCWXA/cxmYV9Hhx8I8/COF/pf5HrHOn/kwc4s37IMmVsb+uUl63vKmyZCiLN
FJnWfN9PwHHOdb24NzIox/vETQzWz8SeLinwwudRRZBlCtM8ABQqTlnvZvdjktj9jlD+/DmCJ/C2
cQ3rzx+CKKxgG6VhkPWeDWHclvSKWSj4u7r0abaZKu7mERuWjqN2XIkbfo+VnHJM3ZPKL7EATlRC
L3XX7CW8niu7T/M2016LE0/lrxN9zOIME8QIM41x8BgQ5S+OBCNY4wtfwY1dvVZmqrdytIwjrFnr
F/ED+97Romeu7mfzibdN4vLgKtXgcKaGrxuiXTlG4zmPAwDe/p6672LH0NMcYlagV+1SrCZUgQNf
R0N/GOVgnFlofLS2Edy1NlY7lqui+FSVF9/lvBU5/fFEUpvmcHtQczSHsIOqG/remd7AV742Zhrc
c8C1l5qu6wt29mFvOoJC4knwTEx19MVCrNjllu3dTag8DNCeWsHPnsVbtDFeDbnwDpknupLp8a7M
A7gEQv9wSR4XLbH6TYOwb2kqD7ZpsEwf7Pujh5m3+EHEBi0Ag8tYZhGsVUX/2TkEJmRswipxwR5I
N44YOhcLdI+GZ8hQkGr7YvMT2mVz7u1GIDAvjfCcneSgAXDcZrsyjbybtfTv1VIdfhM57PucNSa9
RD0FhFxuEFjj/CKJX/AiEYU6snZncIsTcTLxcD44EywWp6gApBcvUpSfWC7vhtGnU89K8m075SaG
5kqfjNTnZAJrXHvfvX/Dcle0bfl7nDt1VzN9YbGO4muy5MmR7LI+e9avHIfRMAxYRdDGzHiaj7bh
JNyloCfNyVzuLQ6keDN+E9HTGPdQqhDywKnVyQnTxnnd63RVfMmXVN7EXmxdQL6SFqHjg5xQ4zZh
YY0GI2OJE7KNrU0/6meoOgzRVVxvpc/ycV1BoQuO+UPMrv8UdbFz8QflPDhW6Z9Hs8Hoa6GIsstP
DxBTsouaPdoP7LrDTj/Q3sBjSJs5QMedMRHRqfE0RIWUByBBZz8fYJnqEArNwfRGnul5i3mEfIcV
pOeotCioF9l06YRrhjNhbe5Zda1Ollda+4yVLrxZt+u2lAE77FCno5O2x9Zkhlic0cfLgN8Cpntx
ipaS9x/GwFcrol8AHPhs7GqE60sSt8G76TbOgeWw9Qbe1dkGbVycm2mhFt6w4psClN7O1cEI+SMT
P1lI2G/E35tHJuDsRNoDNmkVrVTXxni0RkVN8NLmvCtdOq+g/eBfgTl+g/KKZ5Wh7bdlWVyhrYZ0
BM7HP2juLiDs4cry9kIthxvOZvTLnDj77BlHU056MDWe20wZbGFHolps1I8G6bzTJFRwg+s/ePJp
TA2ruM2gxzLAjl5l73rb8kOAp1cTew1h0TqUoGATFimhZ5aP2TjlzAlV92FJclYUtUdkHzvqCW1x
nPLFOJt2WqL+6+F2hUCcvSB/dEnsuD7ap3C62xrF2ZxuVG7uFtgIYpA/8kTfVdqErppMT36Q7TG0
kJ3tjlFurccSScDIWmkIZffWxcF7WYJUHdOPDmFjW3SkzdgpJo/ZpMojYB9e7Nqurk6uBc8x6FzW
IRffTUr6z5zlAvDX2HmuXxzL3D8QP61JRSTFMTKr9KSHIj7Yo3pC6k03/lzBDsFBG+IManMejlqe
TJfL1ZKU+W9bZPU1B/i6bDFDyDBTvCOFaRwB99ihOxTmIQ7KCH4aNqe1L2RnwPCEHcFNf1O1mXdN
Yxg8/uSFS++Pp67IsUt7J0slF6sUx8Uu211jpe5LQwD7arK2ekkzSIxoqUOwc8XMwZiTMWbfgfte
bf2MNcjCzubV0EHBgoYryiIp8SgXFOSkNsenxivvc9eEMUv8zx/lLhHZeSjbz2pyuxuMEwYBLR8m
LS/4s9nAa4TDtkdiak6ZD4KsBUIRirybbwhYjHj+hPnb5u+HFUDlw9arJuddGX57Imnr30/kJWmb
Hy1az0hKxQVQlXYy93IcSJtEJu88bDlkpx7HiEzoRkzB/FCaLrFJ35DdfiAVftBptXK8Tb71YL/g
m1LOqQ0jhgQJJAmemhPKRmooW0BJR7u+idMVAM+2AMPPhtTWOQieJtTeNLHv55Rt+JD+Iif8Occk
1xD/awZx0QK8xJrfHnuaqvccm8ZWuwW7L2GYO8J4+lblo8Ut20iPnFzHHP+c5eFfcMYQiwQmm6A8
AonkA+WVO07bT6nFrVG5waH3lqNrWBcXdM+GWWtPeuuHEppQ00Rg4tRyHDx1ljnTLZr8ULZYtl1t
vNpp4N7RZDx8GK5NTRj8zypnbPG4QJzsltsYI4rxRDbtprbBjGcALT3Cm9eWBdkGRPM7L3B8nGbr
vtqw5EIjkbiuZ+uVcC3NgdInk9Ile2bobdfk27nG22WunjGO5k3ggfolVYdZv5RfuQfhKElPJe1+
iS6fWwmoIqeMNG3Htf7cxvNKqhtx41BU87vRUEPnz0a+S3FSpJuCkoMnLtn9vnDSmywa00NgDfe6
Kxj18MLds0V7yepg3noTmCqrMJkXLRQjz8LLaveE5dqUzWQqCqQ8y7mdJtmHPngNKhiyKHQpkBQ9
Ofuurju87OPZya8sMC+NTlM+jtWTysqNGqtzFPQggXt1K5cAA1uvFOTq2iqf47ae3lmVnLOF/ngc
b+zLmulIId10GJpUgA1nW3Aia6r2Bsi7k2El4pj3hKDbZYx/xrnVsTSzP7jyP9usEfW9aDCrt388
dK5nUkj1CZJkdEpQhnZkzq8GhmCssXLZw/nxj44oMu4m6i4ukVuUqptXG/PIMc+Av+Df9e0dO4hs
Uw1jF7bN3FyFh2LGtSHCDLvIpyXRKVvjZbqpF4e8VCZke5IyU2GHITOsgulqEIcH7ZtN/KDM+NCI
KN15wpuDTdvY6cuIMfmW52wn1HwlSd5f/zt757FjOZJt2R9qJozCjOT0auXq+nU5ITzcI6i1NH79
W8xXXV0FNF7jDXrQQCMnCWRGhMcVxmNn7702HpwZjpJg63WcEwCQ/Nr2vW0d44hgHhMmEXrDn+l+
g6Kmj88HIhckz0B7o71b0kDZ+FX6auANRMZrHkmY8XPh09imBPiAR1DHE/KcZ04eDJavzlJeWF2V
IJ2AP3arZ9chAGHUxXGuKMeox/FDlpgxNaf4UUGmv8PiTOfCEBmsiOnPAB0W8p4dxsn2cMdUSybM
VZW7gWKWbsjZYjYqIjZUtfxxWXWtWlhtZE6S6YkyqdqkD5h9uC/ckU3qtAOGHr4Bh0svJNCLU2Gr
qdq2cYLzyghaIn8AGkBUUUrw2SRjt+9SW+5KJk0GqrTf5BCGsa4SW141LmAZzgVSqVAm3SG8DEqf
CVcar4EF6SGpuHpsW8M0b76URNotnHtA3so8uUwtI5kbVOYBChlhKTcs+HQWORakSSv33qXl5hyE
bX3gl+Ast+Luwl3eeo39TB7NTtV/2qhidAyc9jJi39sXhi2e6NsIH0gV2vs6apI9mHYGIFPV5jaM
e568Q5XLixg6fEzpGgu81awSthQXUkbWc59b4SnTlnXj4C8eeoXldYBVV6xEU9d7i6bJejeJ3JL0
LBCG4fJf8egDAaSdGiwOiTI2YaW2oi9PcV6sYkhsL5bp3fU+vZauHovHpCbxaE7O7wCr0S9hm2UE
S90OfoIszm+MIR+JLxH/0ubJ6tsbqZJhMywLr34eD92sq13K7HzGOsjHVbL48lQxHBCIiy+CKO7B
q5xkXYWB2A4lLJOQ9SCIxnR+FP1ATY7I8BVq12NtllodXy2HBZ1CdF/wiiVu8HtvsWZV9eTu8c++
DDrKefGbt9is63UT58U+hatyP3dhfCWLWX86oUcqXgTuuLcRHCkud+xoVUkuNmFwiyLfP0IQZdzB
M628/gwQK+HAm5KTttw/MeP/yqafapOyguIkmIiADQTlbli3eJi0QDY3fUfrqJqDx96dH1Wo/KfI
BXVlDhnm9c76LiJMXI3EhTzlzMYE6m04ltr4Is0ebgnZfvqd6R1UtTBMpOesNdI0hwfUWSSiLDlO
WIoPPHW5GlsnEkDFS5KZNGiZfPwAJoYnWOHGgYsdNPYme+pigucTwtTOrbuLyaDeepS62DNbye0A
wu6YtoVxP+jJZ4nh3CLoA5sizZFXGnTxyFDDprcSVvgNf/msWnem/WDMtbiYVO2B3pXJyfRgfZn4
P9gMYa7ERHs1rYYvZ1MQ3h9H82QF/rOeOuccFcWz4Eu0EnLcUfHlb6cuu5VZcq87LP+RqihYtEBx
r+YU6s5a9rM4UJjS7SwmHM5CVqM0CoHpI6lEu8HZL22gWIloCJNpmoz5AnEgm35TvWjfUD+ldNla
lpFPDVBDO5cv22PJx3CjvQq6FRyVCthykdx1URs8NvM8n3CIenc0+GSLsk5sXD2pFlhJ7/hf4JvP
2RRePLbde0diwWy0/eQzF53jCJ5DTf9D3rzqHsPoULJobUnm16W7MtInmrmizYzA8twAilhbRpld
bVE257ot8emFKnqVVqLoOBgZaaaWHF/jbYBVuJs6qpyt60FByTsfwPbThNZ0BwkhOSV8177woECP
ztyKsbtr2L30km9AWMiL2eNaB30OJtSD8RAOjreZzOaIHRZMlSPneO9pJME+Zlqgw1bzOMlJx62F
dAQrRwUGts593kYvt17hzsIucPtKHr0pK36Z7Br4/vRWeeE3TU4w/F5gC+9ZEFq7kvPtjm7mxF0b
w2R8z8A0tjwPYV2M80DIBaYlXS2deJdxQ3k7JSyXmY/yK1bsYT2xY48IxEXtA+dCCy6QJr5PNfnD
d+R23OtYGvgDolCayhkvFS2MbG+d/lV2Le0TZCbgQaS8CWhMtLzBrUugGeBDz9gk2P4tM1V7jKZy
5rhqxAA7w5UvfWQSJMpc9lQFnL+CTabjlEyDVvYQSs8oaCCa4JfNIXxMXpLYqfBku/FLn43NETmK
Ma7orXjHjdo5uH1Ob6EqKxDcrgVn0sfP8p64xTdRBnD4mqBb7xgwUOMy2Yja+s4Y+BDcSAVMKyNh
JdL2wjsPFtxB9D/+gflYtHdalREjpZDvRZLyXeI/i/bOwFzzy86s2F23VlDuqn6QPwkD+W6GXnP0
glDdobJOhJewfcoBTbiBdk8MOJNPWHU40SI35INSu7x7faTsg2EEDfoTZqPEQ/Zh01WsGBWH37w6
/a4gAb12QSweaES5KkJVTJqBCdsHTuU6Cehv6gw1PbNZi3a0YhL0pAthjQ0k73BoKarhNGFogD9q
wkxKV+Uv4r7dQCUXqLXWyMCYEpndWGxlD+6U2Q9wWFKg6oFHdTLgRSj1iqmSiiMqy10efFNMh6Gx
x9JfrMPZ+yqApgIqDxICpU69nQ2/P1KRZj1AmfrycaHQMMlMu+rH4cOpun7dEmmE5jw/9tEAUbHK
8fwITMcB1qm16vIZf9t7FW/SltipbQEFjl3oK31tvoTEL2isafa4iubXYiCkPoUlSIUEVOc0mS6u
/OZkF5Jbhzs3B26B0W6h+l77SnDW9+pzCvB1bZPCq+kDG5q7BGTXdmIFdnXAu2bQ9KRzQ2yaKUUC
lzMWY7yDwz99BAREspmlQ0oe/6Fomvy1iHl2lCnARLyQ8ROOfns/SEWzR0PqI16hoqh5ncyBT/gg
II45wCa4Rb3orq6F4EOrUhyC37QEOFefkj6upY65ASrKPQ3yUzDb0/OkU/MQy37Yk/7lgkYiFwXx
qJ0S6dQe3O3ypHa5eAAKyIt1hSFgBftDgOirll6dVrNNIbyCMGtukngctuCRbtzMmFI6p9l7ZWXf
4RsedrmmT0On1if6W3BmEIFrzTS5zmsuNGTh1VnCfwUMQuKIhMlwR1GQfHONeZuHYgQ0ZetD23Xu
Ia2q5lzNZrxL+1Zco9Ea9ogMrDm7aqzY3eiq3nfFGDxHw6TuWVfyV0kQBQGKOWekafORV9VhPnB0
RaFXD17BEDgky5kCtXVU0a5TzBP5LV3k2R71hTsgqttEf7kP0MSZ+fSwS72Fs9M/2H31aCx0XrZ5
d/XUqaOTEUHEciZLCOohy7hayJn/oRlAvVdmuvbpkKeKmyTBqJBU3NLufzKsAwCns+Bgh+TEVmVb
WXuTQeHsiOmQ5Ro8HgkTc+sPBrUJoSziV97fT23VyX5iicCjC119FeYm17aJhH3SvgsnifYRPAyA
OWYEpdlhTcdyB/1ObBwH2ORqtnu1HVOFpNiYMEZmqki9uug/Om3rx0TzfKyoslt1EReDxi7PbiFp
wKiU5GGDZs78X+sovna1V7MuTlobaxkndFeKR7SGXTzy+c2lfjHh+v/MRh7fWr9xf1Dg/IvszVOM
I5wq9iaw2BbBEy84C01Y20BD3g0E2QcgCM1KFoXJp8I0NiK1q88RG7vGxj+kFpBUxSqYmeGbHSg3
D6u2H0KynluMQdSXeQUVoLY9Hel59anlnRxxDvOYr3bSITAZst4WnfEBZqj59CPmDSoYBmqnGmIg
3ONl8h2wrOSa4Ixqb49mcsCzQxKu7Os3FkMfcTT/Gic/4zGumhfbirJjXMsZuguGwXeT++dbp2nV
4hQS+jA2zOncNahPScTS/MqdZRP6RMRAVhVPns7h0RWeeoDu4G6tKhsPwIQW+rsNds2kPNHZFRUF
GjCtkoAmorEzIIZR2LlccFLWEiS8micULwIzcUk3GG1c04H6FB8pw/D2BsbGp9IRw8U1UF47zqMr
Jg9jPbPp3zC0T48ZEaGD1XXhO/Zn+6VOO5B4Bq4V1B4MzYbhUF7XL/txEEnmPRB49k6iyT0ELyzA
Y5NuylhiJgLaNmzjQrNoH2LKcswx3HSGaV1EnxXrrrAw+RSzsgCwkZjb0ApOHYDb/knMuNt0ZQBi
t02wM2DbnreWbd5cdvvrWJj+XnGaUsiu84uRWY9yKOZdq0jbW3J273VTU00QT9OvIbNr0Pbe6D05
iN8NVyScoQIM+RWR1n+mYH56RMBWvywvKs6Gxj3tFGI4JY1LAiwMs35tl5H37GhURm137zB37XTV
ADe5I4aV7nDSNHsepfhdYt0/9FZ+xYKXXiZmrkPit1SFjN5rvbB92gQQ7rr2puSlxq/zOJLomVai
d5JXYploBIY3Y26KFxSVPd81fCDWRQoTF0aqe2yjdB/lI80Gecw6MvC8UyLlfRWk+aa3c+9QlLo4
sssgAUmXBd+IaTyZFcYZMDPsNxvXzdeBp8V7UDS4PmzbfjOUfaVL8cWfqvExaiAwugG3uLShFJr4
ExCZKXmK0Alj3FAHx3P5/vi+PuukYvOaTcV9WoJlKZr0aDPOPhVuzN6AS9QFNjqAIy5P9l3l+uWB
vd+311Y3R+hzSJEzk5g8gf1DtBFe2B8SIIzvUVO7uzbL/b10nPzF7F0Org5N+lgkxcksVX9mJ4An
xJHTJjat+jUDmX/ntfQZcU2uqWxFqAaYotrlSAdHVoPm2UGYSw6WEWPrWMDnuair3UipETmgXhPk
rcKFye2I7IljGjALkvy05clR7tAkxZkw4e+qMdn1tCHZ3xgT+4qmoeqec0uu8X/pE34CB3U6nG5D
F073XhGMBx+OzhWLZbYlZcZKyjeLa81wcR0pl6a5Iq8+dAbUjwKHaThPOaSbiDzGHzXZwevQQhmP
KIiHT5YEdco3f64fkJf8tyLO9IZ6a7YGEW3sKcjyraTf4ZiMElpJ5FpPZqzie5sg6cGfo6V0YbS7
R3YD0TesIgJ3cVU4a5tFJHYHU521ap13AB8T59ncsjWc5Lmftd+sdTpl+LZi9ATp+N914DsnBpXw
myUhM0SyrKJgsD3FXMLphWx6efK692UV9CYCXFkrvxTdx0zG65XtRvyBP21+YLdhb0Of8oS58ZPf
kUH+FpczykFQZrcgCaItsgDXe6oOyQZW7jOxErGP+lquafaMrkOIfL6unD47dVGS/ilNe3gueLwi
zOjgAe62hDJTwcXOu4RIehIEJ7iC9q5uedZweS7EY5ZpsuVYtO+QrLKtR0NSykfeaR9QDJznvOcC
Thg1fU5L41fSNt5ONTw/+yw4RSGQ08iWzUNYT+aXLAbWiinfGdid5PodOKoYg5oci81M80WaGATq
jOEK2J8B0BoxsmcFhapzwyKjSvyR5gjL/GMlXnDGoVNBWjR6cD2aqstHxXCwQ4yj7xLu+X5sanio
VLdMXJ3ZFqBGWdexbINr4vslNCJmryKIn3m6MvNI7tI8fu1Dk7suWlqUnts0m17USJWx7iqEJyPr
0KwZaymP6NM3P6k0y2go2O+D47Jz87NkZO3AfnvGV8MRFRvpzhW2c24tNX8VVaz2XoR615LeW/tc
Odd+ArEMdUc/sw3rDmTVF3ffsnuvRN/+wVyjwbWF8nmmyOpIUDejbZquAC5d/om8gGKngRLDV5VC
aCen+Yo4KHsFrQxzhS0v5mOJgg1Bfoi7p3w2O5xx3bDrwR7scJMxc4YxcGmkm+cW3A835lYehFNb
3Ko8c5RcKrX3ZzaU5EkxFy9pxGtAIhTyZKbKYwm96L5J+uaBLE96ipbKspAENLt81/F4yc3fHDjG
3RDoluRRtvBNZZZxBv0PvGJJkliZ3kXDKCkQ8srfhIUCSvWC7CPrdIiEgmX4RWXoHxL31SOg0eQz
9dvhXtqILuxpMcOmA/3ckQM94P+KXf7/IXS0Y3rWf4lGufuKvpqvNuqaf4u6/ePX/cMHL/6C0+EL
UiCSEjjXM//pg8fTLukz+t/gUSzrL2orBLAkG9c7hGR+0f90wsu/FBRJAmq2ZSnkXue/Z4WXCwDl
Xy3oakG2uCaPZKK38Kj5G/8rPxotwcOmYUxbvrTWgOWAUW0aaHlgpnP+hGkHj7/LXd/esFyBCuH9
TeQywwXOZSC3MVUlHsBKvJ3vOeZq/55ECcwus2gpV6+VudDY7KPLbJwzKCyYsOxvZFhgUIfzJJs4
fjMQK8JnWqDH8gkzega/AfYvgE2nIOLTFCqwNg47lGYDbMD3gHsocvNqAFC38nML1Nl/0vaAOHD3
pPkvfCy60PxjJiWL0ElZ8E3T3j/WC0yN3K1hcRulemeDSdGBZcJGOH1gfB4vgmQ0cKoF1oYldDx1
gA68TYOqEdwHf/PdcFyI9ArW8J0SRW3uqZUEDle7FvjKMVDcHOKIeWueGie5OIPN8Vb8TZyzAIc2
G3BdbLWZGoDNeUauds3fwDptUau8HiF2JA84DWEO44B7UTX7fEPYOkQ39oYMX2E4pqdmqno6l0Km
UgLxjgDG0voZlQ4Lgs/qzBSqknB67DOMWd1C7cP3atGb25YXs/Gip2kh/7UgAGXTLUa/KQWbkvo5
pYY+CWjuH8rDdJjFb/xuGMOHsHkMpOGVR5lVAAnnv+GEYN6ca4rKHbIOW/CFxHwdf4V1DKwhsSdj
2o2lwrYfEAeZ75zOJREYunAu12KcHePQQPfGnzGP/b5nz49TtpnwDMi/YYzeaMnHgs0IKqaHmHPx
RAdZeVhcxwhSqC0AmcE8tlC1fcw7aVSd4TXCZ/SU3Q/MLWNxsCjG7Da4v6jADGfuHZsO2Aeykh3F
wU6n6ZAdhS4Xk13Og3IbuZWy0KiqiQxkZGDrWhiWVKLXLzkCPf6kpvnhkWhOJz51hNzF31zMoem6
CaNSSca+Ef0Cuel41M0sctbC8Iac8TtQpwQ32q/Kx1t6wGDq5duIiD1IWd/iHdNNWJ7ssVu4M1WT
XjoKW56a2H10Ab6+tG3PxN4F1JoSyYtO3ji6YtWaefXmFYl5hcTXftJSr85ILocBcyUEBf5o6zlo
BsKPJatY6wYbwlUrE0so2oao9HNc2PNPHpEsH6RoACv0ZWQ+cGlxAbCWqTVurQKlj3KDML/zE9ax
h8kpsXSIZMg/Ohb9D5ga8WwhJOoKqdHHr4Ee7ty4uLOrF1YOTsRDHe24hLJwdroighwS6hiLmTZw
MPU2ZwLmg9y5w1DaQwdGgwfnk7CA6PwSx56rMQooM8TODzTNosecfjMQPSJ4NeYs2M9AQNb5VBY/
GdPNKmuieBcGzvTmD4Ae65Y9GdbSJmcmDvneUAdDzr5k0cZFoDwXIhtuLZ6iaJXpjLOA3uxTzALj
EfwyMDzHt5NDP+AfLNgdEJ4R+A0PtaidFzNP23OLrEDRtxX527nrMLilU7zY/W2wl3sfMhDEkDD6
NVUGPbcJRUlop8JEn6iz+hYTkzwCT1t4QlkB+iNSo00Ftauyn0pGLAShgNhQ5NkZ9mZYfNdDOfg7
rp5TuI944kBnTYkLuBnLMQeS0X1Ul8YxcCycSMyy2fiMxk4RZQSfkBoMXP64Cfy8hnHIOHgaVJX1
+0kTc8CKISo8tgSV8JIFfFaR2OhzHmgQfADIVtLKAufUDAO3ePGS1iD6N/FFWflQiTeBUUqJB4ln
2nduaHuVcejvZTPy8Yze5tgQv7o+M7eeVSagXtMG7ENU073F+MoRvrB7AFcvUVv8XsxL5Ipa3/Y5
9tOwOxFY9IsbNAvCvKZTzVvWtcEVx5e4IQgu/GxrxGxWSDMetxl1S0+iD1yHtYgFWIGgmWOcndlK
vtQQlAMEItGnd44dzIsDf2J9bdr5trJiQdaqb/rHIMYTAKWxyBBeJhPDJG6PcmPKmk8i+ieaCQjz
8cUnzTxzXpks4Fte+Xg7V456yqbawEjLho+UZ0/Z8wZ/OD+IRUTrStoKUBBnA7ariBG3XkdYIajS
waeW8VLEiuWSk/pEH+LpvEiJLIWc2YAUTqnCNJVVzPTt4xfj2tkEu66W/qHg0viD+lG/EUqFTwHA
glG+jufvlDEcbIcrUXqnpMcBwx/R5QiTyXw0CydNDy3F4lzcCI7hPFazhTfEW16EAnOHGNM8Ydk2
awaExra/6PVcOM1YBm4aL8VdKaoRh086oYY7S0yJuyk82wGp4J5rLnXTXjS8jhqmY6pJqO6EQRVE
kgsPPLvXt8Nd6s/6NszCA1iUgD8lDQrS9jCp3vvtjo4+5HZo3gd0dy3V4yOXw3JOR7Y77IFLwu6u
tzLjKSKjAYdQH5w+qfxHDVqavu7RjRA+Gv9DSS2fMAtBNUriaeV2+bWnqfzMCq2LNgH8SzRPKtQC
fL2HBBTHyuunX0mF1BRXnJmEO1L7U7KIysDBzt5bF/dUA1cD7jtnKr+goJvRuqyH9CimBSS3PABE
HCbPmhKgNTuzJAT+lbPookb1yijunszaFdZ+sLHe5ch7mwzyPfvvcOmzCXQEeRdMPmvVCBmFxB6g
5WA+GfVMdE6Elro6GRDyz8jswosaUuzGJVcvLvs9lQo+iOWoGsEcZfzQ+wR3NKl908IDEYXj2YjG
0FkL9J0texXtEiiM3fuhNprvIXPCH/aR0UfU6pth8mBdWQkXdaxdWK/iqcJYGCnEXeW6i9mNs2ip
7Jmt4egUnfpVGwQR99h6LePEwv1oOpAd2cEua7IZZSmNzVsGk/xTmuAU7u2kHv4Q2CxGZoPUygnO
RLhKo2QkjSYtgmVwaqhNFOZYmnBE0+lXaIX+z+gU2DRLgPHxXpVm+VNLWzRPY2BxH7USOBInZM2w
u8S+ycsYhn6PnDAE1Q9L8IH8jmNFwzEAFa14OqcWLDmzBFpUFNz4a+GB0IxTA8Kv35b2sZzYYl/t
pr4ONJiVJ9nUw7JBGPUTOWY46XS43gGYjtE7dMuNcmooTIp4ZHVZlwNsdRAT13BG+ZowiHePMd6u
Y07a/1QkeNYC9igPwnEi6gS6kQTGRMCKfvBs64uMy2rKDPIDDm96kYUbbXt3tDZuCRyWg9d7NYwi
QPLSwuuOXpGp4oseV7/ac9D6N40p8acfwPHgrW3wgvht/dpPML4T6OfmyU51dmkt6gvXGZ7hN/ZN
5qtiVrtvO0mtdDaE0IIpb873MldOhocCLWDSVVWv7bRyvnlAZhseWR5LW8+w37qg/bKaOojW05AR
dggt4HtwjOs3zJL4FEyfYMZaAvujnTjWxWsd9liw0E3o/lM4bAXz4vOItUt6fJJr630eMWP49ZyN
39zaEaYNh9MYdxQ9vPqLpja17nX0nKQWxi/L5uTvJmn7p9rGr3EQsznMlxT8ut7lGTm++7gk20nE
0EB8MBx6KQ5W1eL04t9yhEKeJdFamIUX7uK6r3ati6+StZXX3VpsOHIdW6H1HCOuxhvL4VEe6bS6
ktsMr3z2Z0zFuC/Zv/OY3xRz3wOLi9ldtDacgIxVgEUmiH2A89tRC6GoWpjExDQSKrSTlrRKXmPv
WPtWRewhrxomwtkW5l0FlJEQAbycPKnYL/YEPoGPnUTOesYWZEmGln7nfozrXc+iNFgTVGv8lR2x
y60nv7uORjDvQ8uK3yteW6pGlzJwm0BNeYgN5IlNmtNpthUqYgEP3sH4AE3SGycaZ+lpYRPsvow2
xvsN5b0mdsJmoNwi89yJ1NMQ3YfOcjkrXTz3yy53eo7JBmR4cfyEt1DOH3gJx0+LnwI37hgJc+3x
epMjtat279jN9FlbIWuu2EydB+yg4saAywmbkNLZafZWp8Aup995UOudoq3+2JjgjrG1lc4dlwYv
ONW4Xn4lyIIY4bnObBgyZncdzT4QFew30+eyxUMRwpVq8S6SuchqiLM+71hHkYydYngsBCSvcU6H
X3x91YWtFpUYkSl4ugM4CQ9BFGXVZoiy3ShoWmeXJvMHSzAMbYOa9f+p9aNA7bgRC4p8yR1zq+J6
o9ZccolcOqiUkkxzjSrSc3+FE4yJjk2VwhEDMFW/NEFrOgASbLzWcVtEP0PdyOMQ9eZHPhUwKVDb
ECo55mcLvPNK/l3OlnbltinYsOfSC5MVhoK6WGvo+SXAftV+OuTmHkJ3kHtlNtFrE3sZ9hFdRekO
KV49zU1XtidiWVCDWz9QoKRDfJtePi0YujEEDj0Q26DSMgLt7FWeH63DLvZ/YmL+z3YbvuCPonNN
JmQFywIPQV7NLjmWWOypBvVO9KmNcLsxC1akRx7doRabqlGq2fJsztBl4769NsForuymd/UmLuL2
O4F42u18y++ag9sVeJ3MqPupunl4mBp4lPzdBIAJWZIzwp+sxZfTjWJDm6P5BzL3fAXKhQcli9WF
mhwFoD50SFwG41050Kzt+uC1MiobAf3lwyF11HfbM/Ck4OmAvxfUHEXcksiF7tskY+IdlP02z9EP
Hze6GXLoJL2Kf7IB6lYb2Dkl0qgOecKEzPb73kHaOuWy5QcayurR4zG8g6cafjJT5GTpiCI+O+mX
sKTcUvwkGfQLexMjp29Np5THtBDVc1B1Yt94aCEcnJuybO29GRfuD2EgE1t84xztKkXJ89iJk8hP
NtVUFbskb2xcy6Y+EyoXv/zGKc4glcevvqkwb6Hs5Dsf8RD9l4ZCYoI4Zr5nSDSYXlOzpo5FekTv
a4au2uLvvh5Go/6SKRmS7axqedE9IFYqnc1tqmx3nyTVeKiopuBjUqWPo2frewUWHXl1zPRlnAam
Qm/s5t86YW/NwqigSINw+k1LpS7aQgNULeataMpgaFep2FhM8r8zMib7BgDJ8jB5J5XX4/0qZX/X
Kg7RTiUlHkH4PsGeJTbcNVPv68yjHK+LJtwGCyo3VVX3wrhbs6CgOXw9/X3nIEG+qVuZ/vHsyAe4
X85XwPzzh5mF6ore1SOfReR7SHyzQC5Eb65jyXHJ5mYvy+w4WmG1j9CGH/rUgacISp5iU1xBDDtG
7uzsHm536HbyMmTcT3vXqd/HRpxdU2NMxUQvryAUuwPy3fQEPJfFkYhybw0L8L0GtfkeABPd0LXe
3I9Iw1tAMtauksv6rB03qCwmSFMtH4maqK104/hUCQvSiu4P9uTew7Uf107tOmeNss8g5c+Q2G0E
aWLL3JEHWFMUNm8HHsZAEwTjnQrzCwdVsuUr470VRr0Qc1BU1gUB+BUo+huSgD/sYzFMN6Wmdjdi
TePz4ffywQtdgqphovTdmBnjlhNXU8JeZDvdhfWJbvfKOk9mUnVbtmm0XkTth5F44iZV3WFBrOf2
Bf8P016Y2sSSE7F381TwruLwqxTvP8GnjugrXWinehoZQ0ZyRjTt0ovsYB77hS/si6wCbN8S8qzq
5vz3oN1gz/lQXut5HBmHAuMe1ZaWqmB86xIerBhpC7rU6AXdgxgdMClPEG0z976ShJVoh1uy2X7E
9WYVjDI+UxhWHF3ReL9FZz8aAWN3i2OVgSzQj3g+1HYyOgA5IEYWizT7IwPoHXaAo5pmdlO6nNWr
snL5IenBFfh+uWH28Rn3ZbVH+iRTpRlsaaiR+tcMW+8F7V78GZve4D7gy8ceS16i5NzdV4ZOx7to
ANLF7xUd8jn7rqW5ZAxtZHlGb/0HNymBklZaB0IN9bYReaefRBrA49Q0BHpk1FZatxGTFPBOi3HY
RdlMkxjUvcel5UnYOdQ8CS8syv4/PO930cWd/j/xdYRpQYL5Lxk7d7/DCICe/jddwfznL/xPacEH
iCfBHy0qgmVDqvsnRc/z/yJgrhSwBc/9x3/5Ry+lpf4Sij8d6Ax7UJIk/wuyY0lUByFxioPEwevt
u/8daYGx+t+VBY8x3fFsKXwF5gcVAwLQvyoLhHY7T+IaOTQ8fUIIyamaVp7NZpwrQBz9wBlHZVXT
VB2hBfXPjqm9cKuwwcw7NFzcIQDNj1wpVbqpVEquII8N1sxy7KZ6nxuR/eKT8b0LSB895IYhu0eb
qIlNSsX38Fo4TgKprCx5GgjtUZgs6O49UtNWrKUMgXN4QRfeWnjXYoUohsu1N40b69n67PVu/145
eI0Kuhm2psjIfhb0E1HdtBlsca91CfyUQAMOU9pjvlnm4ZxJCOxiLXfC8CKSlsrBBojoRUZtRZWY
s4A2+4xQ24x87PZN/lBbsXXgQYsIKGebHl/NTcSpfQwGesJNkGn1NEbYUb3S9/YjOvpdBZpjnVBU
xOUTIoHd5DRe9hB6rEitrcGxqteh9Mb+Ci+ocleYh68mRRbLIzXWZKAx6IuLRbIkPGEQHJ7qIVOg
MovSCS81KLxxD5QVWwgnbMgaA9gB+HAzoMgQ4k3hcYAl6KGhqTHnZVRkmE+ziQHwoQlx7z9RAmBQ
UiPqgAkVeMuSp/FQYvENquQUkA1j0QfDbNj2PYfYzmaMfh8yq5ZPXt501s6cAUZCcrFop6DzHgaM
Pbd42wLVDnuo09GPKOkWB/6Gk6PAy/wqg9FvNqEIQ6ot2j9cO869MdaPFgPRhfA/FS0wmA8G3Ufv
qMwLeTt4HCeWLgwQLGm6Kffv7GYEfQ0Vz4wJ+CrBnrfMgmRa1VKMe3i+7Y9N7udASX0U7+Nhjs1N
VrL3ZrbwbhJICfFrl1IzGpE67xloAiMPrWJrB1/FJm677LlLdY2ZhlWEXxYRiQK7PME/zDcL+xxm
oXfiiemTqTHnW8CqeTfUpTxhiOZuiGk1LkzxwMJsTZ65XZZKwCjxKD+wQg9wnIx0VnU2fcRO1mCO
KcvIpZUZyH0IEXjMLhKsI7Y9u9noPMsvTe2YFGIlTnzj04r1RRBmWpPC1/Rz+3FyRE0eSckEhGQg
AOKJDlE1hjEFDRMMHx3v7ZIpDBC3QqZu7i8jMY7VbIzjpoEsvsJh9jrFcf5Ua/BUI7bL2l8qN5Mh
/pEW80GD4QcrRNju3ahPeN0TvVf/wd6ZLEeunFn6VfoFcA0zHL0MxBycyeS0gZHJpGOeHHAMT18f
KLW6SqYq61r0pq21kJnuFTNJBuDDf875TibbtwDM86kwluG66ec/NVE/ihFnu9wJ/K/H3Mgy7BLU
Rb42xug/jvWM6ZFodvDezL0F/JERxWkstLGfGKFsU7txdvS7DjtPg4UxW5jCSxiMeAAJepeWg8uK
s0bkdrI4QtbiMt3DEBnL6dr3zIFDmGIgTzTyjtklruMGsxDSRngrnTb+cEcd99H/FR39/z2mLNvE
f1nUfP3xlcz/mjv3ty/9u+Bu/yUIvgCVXTez/yC4u3+ZmKpMdiVhM+v832hZNsUfCq0IQWX9bef7
X3q7bf1lBgjEoc+u6Qkn/G+VNVs2m+g/6e2Wyb7s22yySLPOSr/797tiauGgXfJF7adiSNyt2dFS
aakuuQWXaD4nXm+9iFYyZu6WoLhKf0Z0omoY7I1p9li5dorLiSjXph1nl3soE77lZ9gXMw70r2gu
GpJnybs546ZkNkh0l6rVxra3E6myjTKLh3adIwZe7UV9MuhbyA3P+Pgmg4at8YkRHXHLpaq+Bi9w
bjkyYnADx0lj7JKcOlkOd7i7UJudwGOkqX7GmwhyTDrtuT8gNDH+rHr6I5l/jXTVD2K+D4eYcWmW
4k2BD9vC41nHqfpntOonS/nY/Axcs7TTj+XPGHZxR1J2DD8Zz4qfUa39M7Z11gmuYQiGuXNbxQiF
P0Ne1NEwPOuf4e88unZ3PzOT+3I7t06JeU+5fib4H37VMAU+ueoySrZxupe7PmDUJX+Gzek6v9ga
/jqE9n4G0ovh6e+eQoaalq6yfS/swXqqOb4zomCezc3QO4yMuAlDOMa5+Rl8U6zif85d6uoT6JEZ
rmrctZItbR2ZJ+v0HGpdvbd+Rurxz3gdnOWTq+r0bVhn78M6hZ9MFdyUP6N5Jdp+F/8M7L2yGblA
MsVfBXdcF+tsn2E2d8HeA1BDEEYTFk2ZQXqrIiBXbcD5kQmWVTHgPEVCuTcr82x0hKJrDK5R/yMz
cHWnk8p0EB+aoew23IIpf1i1CY+JlX3IqpGq7SaTV26V/x5KnpapanNJoKmGf74qHWLVPBSRqY1Z
8HNT+cmI+UcXkatEYtYTKtkqm8iiFC/uj5Zi/egqySqxUB+sI7iqnwQJTbp2VyFm8uQ2XMUZ80en
6VfJxke7AbTA/GUFMXirsBOAoXzruiIl9JQqf1fMS3JoYQTSREXvSYQSzjGjY2S6MWxv6jdkUzlf
BS4THETCCrJHwc2PYr2kyJqzqhzjEIiFyl8kYzKZJKJXeNSDyEYTWpLltgc36yGBrUkh19VvnRuQ
iWo0z3s4AjOINC5LsRd1LJyjGZfLB9U4Q/Iy0OWcRqhVASfLxM9IwkPsHU9m0BPoGwec2FFdmml1
smyRYo9Hwn5VYzq1gFJkX+9rJ9DTVTtLI9yCOGuJygrbSfZu7turkjhat6pLSZM0fue/Ofi1aaXg
bm7Eh7gc3BdC961x47kq6fY4fZJhP1l0vG9drYiw5KjP3n6cmaNts4kPGt2r8lbJwpbVdMM4QQ7X
saZwL7LazKQcKOT/9ZCIMdecf2KLWzVPl9iYAUmifSyxjABfoMksAm23kO5YRtrAkrR/MjOyrwKz
e/uYq3oWu9TocWyOmuS0Lmpc3w54WcogMKoyrEwGO3LrLP9TjH0IHjGOu2aDpoAKLYnwqcgyFzrb
lDDIdtOYEust9+FvTKAtmqYzMpvNmlydeDJx6xAYD7iDdO49c5Dqpqo878s3pso+umEAp2RgbvXJ
UQ04ZpngdoDdD2065V/t+Ylt4Fau9at1S2r8zNxy90XO/cYzm1ZGiWiCKPAoDY0WaqnsLdPhjKbo
hK6eDQtkoMBiDm0d8SMyzEwbTo55Ap5oU0x5RYQX19Gb1pW41rlXvdQkBcBBe+NM7a6dn5EKwgkD
ajPtWIeksZ1UOB59qx+vddiGd7FBjy6+3oT2dMJV9x425MhNKvuh1FVCMUTvZZTRQIM5xa0dErYo
QHZa7Zxe+h7On2d07ZNV2c4L56Bxb3Xc/pcq9CltHCl1LNkiS0Ycpvk5SV1EjmFPGV4lQio0uy0D
F60B0FtNcKDCBkRXal0OKKRVc2v09fBhOszg09FygZZZ+ckfdLY3Ox0/sFum4tBagXqqgZt+thTo
fQEdG5/Grhz32qseQ5YlrKltEKpdouvHjOJWvEtL0pzbNkdyFBbFC1bZOttSMeam8oZDskeCyIk8
4MbJXhSrgU0V/pvEVMNpnL7nS+5j2ASEOGyqtEYTJcx8zPq+fMfTTnVSzQ18PJr24OwKzcScxuH6
WJaaYTuR8htPtUDR2hpkzn7mNMniKunRowXsaogzJ4nsSlrN1Vw6S7NV3VL/aouxIOw1kdbdVLpx
T5iN9YWKMjoi6kC4WEjNPn33iELc62Em4NSSnMUGb3Ngx13B1txdLZBK3jLt4Yzm4N2cmymXl9Iq
Gfa3MwuVhyb7UIJsotvG1eEt30v/Xo6h+ZxbilbLYWTcaRO8OyFXNpRT+Jjjg+yPL2ywR/SI7MaY
m8wNn171ZgIB3E5ebxyyrvcOte1SwFA3X2ANlrskXMQNJxeuymFV0mKMJ7wNjTQ5caUEmQaIaZeH
NcwEvK7O1jJT/95sLMDc5QBNxBpIRT5WjMvOtrtCH1HdKAl0GXOB/8PDvx07TLPogqr/9FvtvivR
6PupwB95QonIX2twb/J2dns0ezNzq88aB9vv2IE+gbGtxnKm4ADRT0soKNvD7Qooc5vhPjpeEZwb
0eOUpsec/54TLG7kMiSLmUmCV1OumTIroOcjAeHSe/duhg3GGxUrMx+u9YzVrep3PS3fdcRXl9uG
gxmFkzREHeZl7L/hCdeIt5r/bTrJ8M3oQp9oP2quRi4xZw9U931eI0XQxT7TtuTh2v9VVG11SNpS
ERoGPGv6WMeINfEHkfopqM0tiiQKfcVmQ50nhp4ATy+k/oR/yd2yD48dIADamxHlP9oQrW4HsnD+
IMMb/+7VRGpQKV1J3ljMBatqkuR3FoBXpIIMirzNl1foIQ0W/DJQ1W1LOc8DB9NkO4HEwZKQkuje
1kOx8LAasTzYYVa/hzmB1shzqnHPRJSIdpzrZtN7bfOGed2XEVj+6iOfPe/ixnH84QyD2umYuAsH
PCO+yLq1PPwP1KsGfEs7yZq5JkvN+qUXsv29QMJlHICV5SZNPIAU4VD7DGvnaS1bxx4UDnxvXVdT
3SrovVsnHvgQ20U6O9uV9R2r/sztNAiXI4edutmYZix/0amzrjtQ91xlU5vnlyFwkS7GW7Fl2FGV
kTPN7bvAnQTIyAgJGZSt526bYRo++r6GiotMUBM1zPNbJ7U7l0x7yaWUInfTpPQ7mK77DmMbBnFz
+SWXPnwK2yaH5cAfdpPOiUm8ZiJyPuGRfTVDTyePOfV3d5iNSHiwwIivnrMljNDJnCmpZ2e+q+QM
DgynN2pp2YujUztGH+Vg4GaG8MI8AnfTBw/YmNp4Vhfcp0tmBATWRvvRZ9dhoCaHZwb96aODpe5u
nCXntoRm8/sCgUDvzXDxFEcSwySr1APD2HRk0B+1H6a3GF8RK6HqzLcoCvlvaLDOQ0ssgZ3IqSWo
QWPVJLRnfLHiZXv2Z3+PiyP7Q70skO0y8YgFhbW1V6bhP5jD6L/XS0ZnfJg4dJu1Kx1gnPvwnPh1
8JYHerkrzc74rEWZYRNOuvRiEwq4VAz4v0nlpM3VItXKElNe+eVQgPC8jHiBiqXQl4DC3nQL1Ntk
whHorNr7FASu+iKr0LFtS/84t5nxy5dkZnaFQos2e6+/lEkXgjlLTZC1HlMEa8YaFhEsK85mTlgK
TJyeXyA29zvypiiIwRy0wTahE3sPOKm5wq4a5FtDpt0OrGt6wexpnqxyeJ3Mnh5hWad0JkH8Tiu7
fY9rc71M+c15SgDpp13DyuNKlzR80KOQ2uQ203kk0rTKUY6RPNu5JTZuZ08bnkK9sVX4XRMrV77T
nSYZy10r+mLvUkN4EHgq6Xea4z+x0ahb165Z/+AfgJqYuB0avXuoyz45UHANrsmeNMnWsK7vpjX7
02aN2luzUR0tNeaXVgbDbyJOzX1ggHSiEIKjEV3K9ZPL3rf3BUDZsQjlO8cZ6Hhh8pBWLM1q4BsF
GEP/L8UFm0DX8aXxIA01YQcEXA7qCp8kO7Whl+2YkuiK/f5kMbwl64cSRIPd2H/lLUUHu2wswAHi
pXzPWmSpbdX6/XnkAYkMY+4uXQsOBJdqdg5Vrj8W0X4tjcHZqnDjdTvlNtYkVXzy5647z4a9HLgC
yT24Jm61Ke3r12GKApsEnsPQlwB+JyltSOmxu+9LJslRO03dxSe7eGU2CVUhBuzBrfA689ZDRYkK
I/OvnDp+4rG/96kO1NPw7OBhuXODHBcWbUcRoR7ybtChN3yca/RfEuttlxUqR8scsBwMAc/QcZMX
E0hIxO2T9CDT2F++2U8faZNPdzj1kOVMmgKv58UPjngggUmTH3UO5qRg3JjU8r75tnmbN6q7xdrR
HGLVHwfL6TgBDhUsmMIZ3jl1xmQBPe9VMdT+bBZ1XSZFe0FpK7cto++FJcaRn3YYm5+S4waAZKj4
M8EByj2N5aLrUK2VIcNjmfB3O6L1kNQASbaFJIXpdoZ3KpfSvqn9YHzqA87ms8p7quULo3+jetk7
95aNfbPEnUs0WH0SiJb7IgwmsuXx+BhLZnV4m0ygt4LdDdb13jEsH29pG+b0Akq5kmXwEO44jZC/
moIW8mCLm7dG4Nu1RuvpTZ0PVR8hzfRs4RaCos+tjduwgRWNRCxEncQY9HdA2iZ4CuS0YlnsquJm
0ttJ1LObfHVMLp0opzztmC1p9Y6hn/EESLAihjyGt+AOZ475DD+w5vidl3d15tjvNpSUWxsMy5fK
DCwLuVuUdLXwOZwGbjd7Pyi4SATLlD7nKJuQAwVe1MemUVV1nCRyJe6RvtmJol1edQJdI2ACdCIf
vyJ/Jqe6s/LC9o/rgORDeoa10zl5MMxuk68jB8s1eTFyyI8W6NFNP2o3Yn9pHnEH9R92kbIAKKs8
2l4KJalOLo5SPTytgUCROTJn4V5XWFtqkLynNpj7o6oWx76W08z0F6AvjW30CyxAdmhCMvbOZGQ9
Sn9ZiWdCqbZ5aNg1maHGxXpkBGU6NiS3u4xfBNkScLbKJF6f6dD8bohS3IjFjV/MiVgZvioHGG3e
B9krbpDuzASnoigka0FJ2M1UnDFwOeUTRNTlkRoV7V+VE4ErkpwTrJ0FpOYuHQ1SXkwlDr0TvOF8
LkNcU651cBjOBaxIqTlCTyKfwKWTlHbFjrUfR4wduVRjxNXMeGoE6Dpgp8B6w3UcP9T6nVcu7W5Y
8n330mIZubVix/1dZIN4YTJD2Ir9iJM0gOgqL5obL2za3wyZJS8TxTqAIdcytjApvvBWGfGxFVka
Mn7ocsQx2AnMdsKy8zjxMTDYOI3d0WLYkPvadmkzXlM6p9Zr4SCZRxQtSDQxNT02PVVh4GgaufYL
KgriL0Wydgul7sTrrsD6ext8Bb1zVNzEsn0ZzPBYdKDNbZd7fcAcvBlenbhdj8qqhjGXqqJ4yhkH
ruaUYrituL7wT0sq6WBu8mBu2Kdz/9zSLv4hDUUvH7WUU5SPM3N5gy1qDjyj2bhJCeMgbNZSGat5
8QGnv9JrARlBdolxV4uVjKlcVxDydtS8F3PPETbF/3DiJF7sNfCUIorngdRzWWG/j5qsbwRtMkK+
u+3cHCp/8G9g0wC2sKtSQDwIBsBiqfB++8w/wPVSdnnBwJiD9eDM84qHXXUHy0fvy1rfuSs94oxF
iaOBJ9gpHiqjaI9j7LTY5zvuHpEdSvAWVudXV1ZmYb5UbclLUjq5CzmxrNEWYrs0QO6NfVyCZAy7
eNgNQE8PuQ5cXHJFPL1pnwsWP4lQz3BgMKb5wxTyUwcEaSgF7JdmE4QzAzSdc0oeisR6EgEm6p3b
C59zAsrRBTVsgATp6ezDpjiLuUU6GdZ+lpZpRKWG8nMOg2GhLHLg0sXj6YttLqfAszYgH+Rrmvbq
QK2Df2YgEqT7StD+zLS2+CI3bV9X4YzpC9zM2uSkgo7ugEH2z23oZS/taNK5ClAYgs64CBBguREg
BgLXge0y8qic6RxZQC10gnz8oGX4VKYdt3m8dyZoOCv7jOeRMP9g260NIVKk2HNNi3Cqyr3Sgh0E
dvkgRagdmjj1sJAGm4LfHTVNvwrfRkbN05KHGuM/A4G0D9AvcYlhw6xXpmGOAz5DAbMc+TEFaXCZ
7I5ZKSZEcZPhPFOcJ3CnbgLUpgK3reEsJJ2x4cEp7HELFpXFwMYnE2zC/9dksctiImFGYPnNJ0K8
XYJ2eONN6uyrzjSHg2ykGq5w32iP8zLa+xYDhvyK0bSSPTzXjMMesPAWsEvLujJVE+iazNHueQnr
xd6YQ9/6oA2A0m4MAlgHEhgNbdck6vBSmbD+KgOsGbdIg2hyN7Vyt4AnznZ2ki73q6e4wWHXVh1X
plBtW5N3fqdTN74eJyNG6uqzZdea2VqMSmMSC6qJxrZhVXX0Bn/f3qhHc7iaR6+Cg46SvZBdaJij
pZ3JMEmhmqLpJqG4UbDSmDKzs3EFW1t9iYnUXM6dovPpipXk0cxRMiyaa75haUwqvlZARuN9UVrf
OjfEA7qfxeQxA6bhGjWpKUxWPQY+PJXFxiiartoplk2sbH1r3EuuGuLZThdKU3xNZkhkBJvEaKHv
ca13028XX9R7wYEM1mKKs54prlvxO/YIl4xB+pAXYj4GAq/3HhdP8EyLRHNZZi2fszJZjV2iye6K
tkBOdOJdnQZBfsrYRHbxYPcbCW8o3g5TXH0g6BhfddrMTxlxCWNLiTOQjYBld74UbIUAa0RR3nCH
nMSR7jpm2bkOf3OY6z7NTJS/FjBI0LObUcFlNJKzYSE2RT16OlnkeHBAd6xu4ARfsLUahJlaOPuJ
gcKFkY6Lt8Ab7pQ52wP+39rBBReMy9HhwYWPMjYP8TLxBvx4kpPVnkyNAWt2v5qWc0Hu/pK0WJmX
H1fzMq4O59JQTKKsH+dz/OOCFj+O6OTHHR3j1c1uGDbgml6W1UHd/Lip1Y+zmmkmDNF0NVz3OK+T
1vUjJonzh4krG6p1vW1M8EmkRfBsI8i03ARa+5Uz2YSpG6Kv/0gyhaHFj+s77Xz51EEXfOIsCt3H
/HGImz9ucdJmwFACs/7Gt8JZlGYc0mtCmeUffIl4zik6LLY09TLspywPW+1qT3d/nOrVj2v9/+uz
/ye2JXJfq4PnP+8F+9X3H93/+Be1YH//yr/Ls+5f6H62aQrsSSGZyn+YloLgLzN0EBtIXjg/Au0/
qj8d8y8XPxONM47DAR3r/j/y0Lbzl0C05SvD0MVe4tv/HdPSP4uzq/eJDDQKrWkHtuWsYel/18fF
KTn0IU3oA4eL8HHEkXFb1RkNAk6Ydp/Ma/LLaDK9+Zvm/3v6n/JP/S+awCzfRXz+DzFsC+nZtyzh
kRC3feH90988qNXg5Gl98N0h3qcd6sdHaRPp2KTacqHjAndKWJHH4bVoMiJw5DDByYmAK1yEDdH0
D2bRWHakOqd4i9sYzP9scbzCVSX7SHSUAZuKREEEvFENx5FJK5NaHE9AucaeA3VTi/nTGQGX9Qzq
DrbDebl0y+ljru3wuTRZL4l+aH3PaRrTft5DNU2TAoyKaOKV4GPZwyvlM+neswAPibK8uCnq6yj3
81rMopbqM6N9kDZpvV1I7GxVXBM36qwr1Y0ZGnEevIR4iw8O0fArjE2cJxLPpTHJkH78izZsqico
kMc9KuyJ3sb5T1B7mLtKBxJ8Zp96xIjtOCZ3IhmCvZ7gTlVBTSrFqp7xomgmgqv3jBGYhtDIicCG
Y45Lnl6CKirQMQkzOgDSmnErJrQATHdyK8eBL+xaDzaSX0QG+taGSlc49pP90RgF5LPQvZiewpdf
cJBxugOy9J40OeQ+4glYcsMDLncVKW8Br5nUI02maiRvPlCnPKDsk+jqOBuCLkYjKWkscQf0NbOK
sMeg7I5psMsF/VIKB8yBTM5wIo5m7d3U8U4u7oWNoe12Z3XDcMavQpJtJDK2cPuPBg9NK48zDFSN
LM9g0f1D6BX0TSyUjSycOXaauTuyrSUL8iCG+9VYWh4HfFw0APjGDQQ+xMi6BZG6FCrfVm7hbjnv
pBlXDhx+mzXUnEWA8Uu5heLjhtsckIrejY6rPrgeEQhuFofPHZhV8AamUVwzVLM+iZSWX5zd4D+K
vPGcjZ3gWpN1fmXimcUv15kp/KewZYNpL4QkjHPpNM0Zt0D9UgrO8Qw6O+JEJgb/BVPxiN2K6IXh
M9etfT9KOY7clYg2nLBiz5IbRkIVtEDbu3EJNJrRZDnFVaFK6zBZEF0OmGjFY7kqYOywrrkFGbXY
O+7TRFIW4k3XZueQz1LtrO9tXL57VyazPEvZoGxyIwneVC8wX8U2vbgkQwh4tlw8HugKMk9oOgS4
/RaP9cILdcqtkSBKAqAIzbFwn2o4AMDmfZHO/DLXM6MDDsFB8mkKuDG1fkYqJcgtMC89YqS0nYs0
3G7cCW/EX82B2vpTt8DpfKe0nnOH3f7Ql5b7XfljHO5dx+ZG4TBMxiROOYzxIPx+3PuEqi65EhlK
r2d3TsTNioGbw3DtCWYKimraGpeuMa19w38Yz8k0eBhoYR35/kqA4YtxG7vzly/zT1UmV5bODo1p
uHvoR7CltF0cdRI6tz6GtW3rDldgHbis0vxwFfb4oRfL4CpvNgq51uiPWdPeVFy071CXv5Ic51lX
Q7uJ4f4fzSwALcX5bE8lULgP5rLZSywSd0ls9AekGEFEa7J3yJj15+J3eg9Xy7+h8FhShjjH4xXI
lem7LGMiIOlop5eQNHbCAyzsOFqqGRhoN3vWZ5CN6Zn5VXEJA5pPoMHAQ1ZWj3oF1ML/0+I5K9JN
UM8uQVij5L00Xula2VW0SEWVb3lgX2YEtUoP96FjwYKENiC2vZfqM/2ofwhysX6o2nX3yZrGCO05
uNZkm7FaLM4m5Jy/G0uZnuo+Ke8M06It1nMGJzLrMX4ICjd3nrRBYGdjznl/ymWrf/dGOdyoce3K
S+q2hkLRz7ei45g39zVptIxQAE8WpcysFvJT6IyKy8pDORCrLOdBwaFghd/GZNu/RMEYyONz3JQT
g+554gEGPHGzEqqjUcbHobBLjAoM7ookuG5sPznj5/xmd0pvqprkYYHnJSOOgohwol6I6kpIU3IH
QBdWT6qkVW2Nue2+aL9EoyTxa14FfqVieEFZj77bGZgvhafl9ZTohxQ7IonbLt8VlMb+MaEnHObU
mQgF8sIcvFYLfWwaH6VLay1u2j4vnwM+J9K2VgdWJ8bNpH2XpqE2/pyLwnIfubuzzPZLlaC79o7J
TbLzO9IznA7WmiuJbtlAYpME2aNsMD8bAsh7r1TLobChGQZpuF1LlAxGaSV5T2VPcD9zJ/gJCVmH
tBzA0mKcEhbYQBwPY24jiMaYLm8CFYzkqf3OxkOLV3UW1X0MMJvRUgr1vimNu6J345sJIyt/KI3H
wt2bGDu2JLYhnraS+5A8lbTj7Ubhdswv2Jm8DlNwnkp+hOQ61OZXG0y/Z9b306hoZhCmPZ/ShdiW
MbX2Cm/FcyOZi9h2cYWteNqRffcOQkN2imm+YH5GXxajNPeSefJZOthU256SpHFtehslHXkj8hIQ
UGNJHmjinXd1RiHpGO/S0rf2/TzYV5Qbgck1emtVVNOvSa6k7kH314USDjoR3IF6Arw3q9beSBV3
hyYAJMEnNFI9AMNVWRXX8Gn5FReaX2RZN7vS5xdbYP66roVG11DNL3hyOLfrqjv2Ic0ZHDXAS/hE
cGtfWAdWIHGRXoPjO+/8nYmvmLu+6x8xxLrcmcI7Zcy8vqXt3jLSJVkCvyOyOz25B8oEwOHDdCeC
tbqRnY6Ul0pd78JxAUKjWD9USAwUMapU3flpE+4yq1diV0NqewsD/HYB7OqLGRb5N5cn/2Sw5Zws
YPwv5D38LcJITbm3B+sZu/BAHCUw42+TKvQjqXURZX0BxZBtNj4YWlCZVKdWcocBiJ0zl9o8+9ir
DlCxnY/Q6torTT73tgyJGG7W2CalAwNzHqpOwJVondGzYg/pI8w472IKbT0hfsV/Chq9Nf4/UR5E
J9OchcmKTxn0mzMzfPLNy5SFO+kY6ZlXRaE7SO7QhxoR8FCatkVLokDL8FyNSWSFhSc2ffSg500d
FX4Y1HwIFVEUIYwnO/CzY5qo+ZJN2XKozFm/uh5y3sBFl9gMx4cbTAxqz2grZJpkmjl1KomzPFG2
MP8ZMr/kNYW//4CWqx9CpFwyKyl+NY62QzRytN9nBK2fxVybNzFM8XMSQ3mbba6fbH6ARTc8B0zB
3JYse2kWFw9M7pMeS/eoSZXfM6/uOU368R1DVHFdWMICWy6CV6OAtd9SRvHquPFJ1QjWDJ5uyO76
V7aAUILW4FHbInKy55s0AbzHimfBp1jSKwbOKF1B12HJJoq1wSA+RUHLzWIzqHWYQJiMhykneXQT
h0FC9LpqNzbCV2TDaH2g8ms5BQ3fQSUq65fjawZxddc7wLFHInyLQez9ji2C/Q2Ci55ZwCwfM4xI
o6JQahvi5Nn7DjzL0HdbEEiQiIIi/AA4aDFvQrNORTUfbJ35+5YM8heHFgJJxOdSeMkF+cJhmqtD
6Y3QrFut3nhplwcjVJw2vQmcfsdfIgzT3mVg+XdeWUvkdEfe1VNn34yK3NhH7dhTez9PaVs8Gv4o
g23fLHR80jcQhlFsYcXc9FU3wY+zNd0kwUDr6cYX2jh4TZ09lO4on6bGSoGs5TaAFV/WO7Q1eRg6
U93jFLfehjp0nyjSww4wd3b4uoIUFsZDafUoiY18TSNhBMOngbR1beaGjOVSPo7Gnx5MDqh/QNEu
Z1qG6SdHzG0f5s5irVggU3FgUxarmte38gAwlCW7U87w4vNxf+QgR355vul3T6J0/f4GA4vr7JZs
pJ7EUuRIZIlYoh1Ys3TgSaTfsJRIUNQ5zOmpsXgIt4M04oxzOx3AfcmwlCksby9oC2HhRdLygj0q
pFHIaZsb2QVJsh0N1JjWaAKL9z2AYwAcSZ7aenDeCtByh8oKm2cwgMOHzZUoat2mfeg8hGUDOixG
3m2jhLjAjyOtzHO4wVpjfmQBSW1ZhRk1Hl76TALbeLWa2hMQomb3zSfZfdb9OO91KOpbe3H8e4nt
Wm4sOcVHd/X7k7w4caJOribbHY/wEZfjwK/wAw1Io40b/p2bNN2+NIKD1dfBbYrVjTiQbW0H4CQP
FSH/a0rlB4aDYU9WnDgiGUnRgrsKijm+1B1mLpf0zrVECR5k8mXocroHlx0zAGw7qmAdhKmN8nX4
Pay2vASDyt61fbnVo00EWoTDy5jx5hRG1b9koJG3iLzOdQWq+kw+v8SbAwLNTczIbvrwoeU4ewcf
DDZSmjZ/8FKi5sjRPlYU7z6RXuzPi4TdZS39iNEKBI8y8uSGKG12Vy+dA0GFodyutBqawWKXqIQh
mxOxywSnl6LmCPRmQ+fD2NwN3Ek/29l275Oy6vczCXbMjXV3q70xP9VBi5V0ov5rEgTaI/TZYTeR
EYq6kZRoPvTLR0LYdWNNg4leSVJ37jPGb0ltX2vNFIO0efiaBm38Hqes+Z7knMa2qh9mWc/vKWex
Gwhqy24BR3gNKzV/7Dnl4cogqbpfkKzOjus217HikdeK9T5o6uE9TRnfxphKPmacZN4mC7lS03Qb
XIuAy9pGz7xdKbvKNtGp2CwQpXZiXGOXM3cs4G37pUky+LE6fi6Ep85eE2fPuNi5oCZ+yU2QSiHR
zGguCTXPAdyccxzocWvooXgCSWEjn5fVN5CEpN2kZmU/rS1qN2bJnreZq9j5EjLnhkX4qruYUqFy
gDqSR4MHzdrhGTPIfPb58DKg7mP+M9zmpZ+aluhyOFmPOWa5p6Cz1UdmkIKHGECzN1y8tqJ0p4g/
xt5E8A4l68sF9cy/W1j9npcOgtdVBjMNP5Vfut0+y0X8IfuR+5U3pM6n9iv/ubbhM9OIUn9Mo9Vs
yeEHL1RRUJiEJHUlOalB2mbt4BtCmM8rUexTVKUH0l3WzgIheuQ3qW47C6YO9IL+YygxFlq6TTfK
plccg3lxJLXNOBfuCo05LBi1TJvXLjABZuWl8eAVQOJh88SY9aKeJb6OqhquVo3DYroJDZl4R3TQ
kUAoCtVKBbCeK24bQLWgXn1rkhf7sKOhaM6grm5oVUAuqIE0v+TcIbcyTr2jClLmvvzwkjOBi6+d
i79yyz2ngO5qhrz/ZocQYoKs4gFKrYXvwSDEtsKGJgZBsnp2Swpz8hRdHDm6+li6eP6uOYOe8O+x
DMXGggmHFlY8YsbBn9JPioRWUzmqVTB/MICetz1bM17Y3okoycCUo8NnFpn6PHfq0YxH+0Am17jI
rAeDJ8FyDWHhkQxY++QaiD+DeOhT5d7GTlxeQcGzjY2DG7iAGp6fvL6qLtBp/FM6zTwOaKDeeSm7
od4W+CPYpso9KPx2G2ICZ6tSvGm4KDDqiuuU6sd/Y+9MliNHsiz7Kym5RwmgAFSBRW5sNiONNM6k
byB00ol5VMxfXweskpYsj+iI7l73IkMyJCSCThsAxXvnnsue0mctudAWFEGEP4ElGXunGBX49+Ey
ZGS6554nqJ3M7PYePdcF3N3ac28eqBOmzWnVWiAeneEO+8zwHTbZdnPrAoIsM6E3eELgEJIElr1J
jSK55WRHUSjRmeQcERpl2qXdCL9u5ISwyjx4suWYHeZvc7uBSMmezUxltDANjbzjaJCBE0RpAOEQ
L3SB0ofWIYuYZHa8sTUInBdMfC+zwF+1mUXhXju3ywq2o9vEaZglrp1OBC/1AtnopoJrXRCchN4i
zKmoGlfa6d07O+7qM1QwpUR1HVzwcdhn85vqCfxSXXXkXYHgYH5EPOkrlAnVVQyneC8tmnUK1MTh
RsBVvkLbtLcM19CrurbmSOMtcFHdGyTfZqcCZnamDx+t16ZdcCRiE+anMYfpsQ/m4EFyZcJ71CGl
pehbrORM/VCYdOGucc351tdM3yKhFlQzyb3zuGBSszGafPRQg+wjIpQHWQ7zOzID4FOXAhnp1lwF
x1LXzBux4FYMr2jjXjgtngnEs4QjLDem2XPmAu+ywby6hfcKYel43GPBDpXy5LU9DMXCh1lTDioG
mDRivszGOxWIbF1PnnGk17g6GQtnBsxV/zAX9sxYKDSdJzEXY33gcX1PqWN925tlu2tSmiaseeRG
yt+6x9bx8mvYmmFnZ9xON8U39TYtABw9SXzHSyRnawQRwb5L68bixiP6Gyvz9TM1atazBwWH0GDC
tMfkimU3ZZsxdbGg2CtniKvHVHMYZzmox4kl60LqGZT+lleQWYKRbFVS2ZYz/IAoT0PjBbBVnzz2
h8yeOURDXEYJKuRvPLBUMn6I1MzOk1Qfw96ZzPOwAUjpvhKVz/u5AzpMxSzvvW8SURWZUW8T9pLZ
zv2GGJM68mHG2Dh368737HtNw0W6HvwY4VxK5eJL59jJz/6bkPS9wXSOo25gdWdG/Y+xMxevtR0M
eyMp6lvUdUDD4cJX9t+opVioS4AO455FMEngtH3DXodC0QPmsCzf/2GU5DqqaQSntJV90p7InxMN
9MDOcsTwIyOxnQqLxNLUHnkV5q02q/FGxlqBRQAeP7Qt3ZhmMM2PjC/RZ2MpvtgT3Ar2Ha+6DruZ
8sl24UuZGkgqtAsBTkWfQLsyxtFwNoYamgMzZDbC2CnH19iT3CAYoU7nNnfUtovuMJl03Sak7vsx
bYPiOqTckDAKnn6xkK+B4E5w0NxmgFBYGv70vmHZiBQGvtIy7/sVU2f3zquoUVhVw5T5m1hNLMtb
m0nthixzkW5sG4qU24i4ZI7f3kGszi8Mzoc7Q3YFKTEQ3rhw9L7Vlf1kY0y4taFhtrFnDCb6IbBf
nbmIVbuMoEk5gFG0FKu/xaPMrigN6C+NIcgD5DjcoHk84i+8BRl/jYjZ30wxp6x1q4z+lS4kMimS
w/UucqmWM6N4vKXyh+ILhbOvgKuj0qtMmtlYh5VYIIBIdevYsawHLH6Ef+Oc2AyyNUGKAnK69CUQ
tYs9dy39iAepkYjFTVNa+r4OS/NeDHZxOxkuKPYUxPXbPHox5YgLpt3XnjybeBgZ4xQ6KQ5xW1tP
MvLFVVxTU7bO6xjMHi95yIomydUJ4WbwQVnC/F59U+FDxIFt1ZsU4mz6OaJzfLJ5jJubPnvh09b3
6yKLuRMw9RxvsRkFH4PRLhc4vkQulWUvStniaFvtfDYFQrtowdXDGnCdazs3IO2bn9rB27TxKc3e
D5UBZbsg7+MCv49hUl87CxA/L2i87pwYkdvCyw+eXxNdx4H2SyZBvmmybsMzBAWMrWyLQ+HMoPNc
tzc97ToPzti7J0MUFMGnU/dZQIdV61lOzr6iUuKQOLQX07WT1+9WhXBjG3aqvOcRiek3bUlPaW97
d1T9ZB9zpdTDLBr+0nAd0mFfv4YIZXjEWwIEXqy0gRIHALXjNXwolpwBd6Dcoxhr8B9JulG3y8pZ
ULyoo0sHO39flkud68y1BWtZ51CzbbbtJbdVdlVBfz5aQQkoAb55kWPBNMGc8u7HzFhtuSH34ux1
Wu8CukdoXymG7D6NoGfXkZ8IxEBUvd+h7uUd4XBzbS7RCpZbxTEzreheC7cCJxpdsmg1jxqkK4is
YEahiDK4zftJnvjXwlu+3cbPcYlt8LevEbUnW3qFx3cemb0bWurmy0SdNGg+plEaDuqo9NYi8aez
bCcCYLhp9k2pyjWRo4cp1gIdUOZyZ2R0eWy16SYrexjjbSJM+WgP/F4+WRNSoqROnIzv9aoxNAEf
Hl/Z0JAGoVk7D+hgJrCiolJeAtOEx3dsAi0OB3qeBDIXJtfruMv1S/Yl/o7BTEsiJkzH5prt6kf5
HZepWu3eRqFQ50GWzh3Ydfyj+I7Y0B5G3CbsWN9EHZ+mwQwPXFWDC4EPIiAmM4W06cRXVQQEDWhz
6miOK7URrxm7N9RQEsjK1y5HBGQDqnihlmbi0OlzZImYcKaWGDB7fWeDOqt6Zp/aHnNe321Ut+Vh
RPa2MRU1MlRmeCXILHmCAmqOpVVL8kjagT6zO+y22RJO6peYEtVW1B9yu38zIdkRLmKSMNap2fun
LnA5yKqEvZU9dzzB0M06XGmhGeUsaSiPbQ7j3sp9r1wHkiTKWhSxRFdWDjMS/GHMMc4I87jI+arG
6Nrq6MEt2PnYSwArJpbwWRIK/BlzbH2sx47EBsLP5fpP2vhaAlaVGOpIdtV4pHPwKh56GJFyNJmp
NuZKlXAx7jtPsYeB++VGk7bRmWiB+TP7DpQNVYDUuaHMkYc0wmbBQi7ySxEq5h5Mp21l98fJbfFn
J0t0rdEuOVqc1kVFU002vdQIHNnbkHoTouKeX9QLwUNDfLAuA2EEm1bF87mLA67e7ZKjU+RnKJzW
uY08Z1IfvpmAZkmTjR8mp5K7lfiO5ll0W91UeRw1KwZtVCgn30G+vJALIyY7u772RwqH1+kSAQyw
jfjkDUkHZn3DHkUU6dXYK1o92sAwjgzZc5DEhlwSfwy+dFRJxuKJna2drQYWoogtlixivaQSsXc6
d9y8OLt8hxYDInL6CGRrpRsl5vGVebPY0sJoPIbL01XutRgMyToDv7Mf3A54ygnsZCZlhb34TJfW
rZZx3w5rUUN6weqw6rlQBGuf4fDVnJvWiUjveDOZbLxtaxmSI70mZt2IredJi29WL6i8GO6I61zs
SA88XevXDrT+NAVFdqQBz9i2JMw2w1T3v6zKTc4dx4kbsVydw3nyNkqZxbXRV4LcAP9vTtyW2HGn
zVfTqOMbHUbpmYZDsS1xfSykfa/jte22r1FXzaQ1++IaIGhx4FnGltqd/JhZyvzIKtrEwsprrnMM
1rfBXCfNuooHWoeyYf7QoR0dQstXR+je4cB5nTExJRDu7v+zQf9HbBDkCkDL/54Nevml23+s6P17
z/75j1/f/8nj57/+af/Xv/ffOiMTMxHWbogFZTmgPtBGA//ev/7puf/hCd+GivEt2+Svzv8ig4T6
DygMZfr0L/qCKwv/6L+bEjA3uA6okadM5cHVOP9XZNCiZfgfNQmc8H0hfRtbmlJS/iYzUo4BLcp6
ft9EXbqDpsRxHMoYvphIR1tMx397eS7/9R/+R9GRAIjZCv/rn5b9x5/HoVA4SvGK+Pwi/PN/I5ES
MQa2b/rMRlMd4uxMk2XeWN/1VlFtx4mZVx7M7MEYm9NVANDI+oVOu45pU0C7dS8wh/WofDZ/8+ei
eeL318ERnuk5piuE76rfOKXlCdchkuztma7/aAv+HNbAgJ5OzINonZNP/9y+ZOC4C+hw2kTT2W06
8/TXfwje0z/8GUDygciEhNH6nZXisVQGi8t6XzGd37PpCU4eZ5bHv/4pf/KOYwH1OEjavgIv+03U
oXiRudgn3t4u3YObYjKHbToMMamSekDB99c/7U9+J9dmxsI77gqHD9L/fL8b0Vgm/Q3+3i/oWSN8
Qp9jV4m/+Sm/U2bS93y+Edi/WEMwgv3tUyUC1I6DG6i9C7u/qlOGHkXW3fd5/PHXv86fvHi+BdCm
fH4fUL/ffpBroK3//vgG5OdWuZF8geewpSOsYifpzf/DD0OxQbTJcXG+/PbDxs4pkc46al8S6qAY
x2Kp23P7ymeArTGRh7/+cWJ5L367FgAuQlw5XBG4Tv32XsWUssyNCtW+Nhz62sg/XQ9IxO4zK5LH
EmMAesZa7iJOGgfyj8g+qIn4ybSOUsaCfRLj34YKqrzf2KkMLGSQEIXS9rKNS0vYpaVYtNrQGQf7
1CUF97+ce/uqqWYcEeXifMB/ypYEiJqgciLvmjxv7v76d7T+5Hvuuz7iG3TP3h8/j1i1xeDS0rAP
i0gcE5LRx6l3TSTg7pOBO7BKAsK1Tfil7KjiTpyKR5Ti3t+81H/2efW5cjtIeUyXHfJv34oEGSL1
Rv4+yzrGKw50iYleluCm/BsE848/yaedh+dVz/ZcXuvfflJUcZxhHeHtVRDn67HDQtaU+Q8dsc38
m5dW2n/8drCZMBEUsSTBwff9z//t4l7jnTKU0GrvcDLbkt6OiWyL8cIz0ngvUTiAeLSPPM3k26Rr
WXe0nlmvObxWA0aFcTj4usr2k1LLVqhz5UPHQ9A7hivvwOqBZmq77qYHX7fONTOg8iollLrHloJK
orK6ZNxlFF2zcsXzauaqO5r+5B2qyJFM71kAG7Wm0aOpxdZ2G5/NW2dm1sqlMyPYDy2ekTC3gnMX
Je4tlQsjKFOEdCXsR8ETuRffkjBK3sEK8iPugWFrZiSuJ58ivLKv1TGtW/Ua27NzO9BgcJg1TJGB
h501XyOZ54ngbCXTxudJYZsFVc5YP6Y9HS0QqEhXPSL3qV4FtQrvXmh6qzCqC0FSrObZu4StV4SC
d4VfZIfYbJMHAyvHrWfmHks7duf0D46sDcfBrnFg98EZQip4RmIQ7/u89j7ksJzNA9N+wzT2gsPe
hxUwSnmVtM2t7Tf2jcojIhbxwXaM/FD0KGa5AoTiHra3JJgbSe/KdGx9O/fMj0KSHXtdN+meX6da
ez1PQwHK6Y2eic+f+jJerGls6q59JtjQdmToO4iQoFPM7+t4n9VD/4sjE68Jk6DrKOKJp8w6C8Qp
QCDh2qJj1evoFwva7Nl1yMYhgK40y5fG9J85tk3tsq1pYbpy59h18BhDDY3ZSNe5rnuJErA2A3Kv
IRQvtRTc+tkXMKZfJZmztAL1Hk7C0G/ICPF+C93z8vWGdt8DmQ7kPHFnr8zeirdO5bpvUSUwDvvC
eYNANHlMN9PolgyD6a488kya53ZTw7QEdA5hR5waVtl4KZ5ZObTZs22D0/ammXzUbsLvoAKXT7wP
q/aQMXsFEoyGCj1tQ2WdbtZgXOqLeD/DGbOLGS7jZA2SvYdLeF4laTddizTHPStbWW7ijIg/oSWG
eix592LmgLPiepD/lLaLNQljlrHxnaY+Nn6uVnaYdoc+MMeznIlwrxIn9PclayYafXAnb+hhvEm7
Ee2LXVLtwfCGP280gA4wNASNXiMeinwUXPF8LQZqsnurPsEJNVchecwHLAmMCeJpNwJrPQrTH7es
lFtCH6M8DEYZ7vwakYPnmjnv75hvQto96LZhsUfHUNbJHfZ/65nZlbqyp/oXJEq9jbsm5nxa1z/8
wGeJ0Id2fTQs4GJp0NlHXopUjjWzFjLgZzd1lvLqQ/AwZSogdpAuHKOiYZzluCGsaJy/YycjA1JY
w8HDePVJI6YbkN4Yhrs+McG0eIsfAmVjTImNbDtMfbQ3Ru7CHEVpkmBxeYdjZjpg2s/3je7Y2InQ
2lEbCFkofNItHBDH2XKuAjEk21ERXmy6xCH2dApJ7rFE9ep2nc8DDwo6JGyeBE+ARwxpGyu8NdJJ
XMHN+u8Mpu0nMbvtliW+TUMjWokFIwkOOOLKQ5S3GG5d5tp0g4anOLX6jaw4HDNijq7Cqn+l8YRd
Qmky33fZbA5d1x0aUmznNoPGXVfOMG/KInbo/2wSYj8Gw0iaRljA5xy8bXe+0XYdbftEzQ+iVvpc
zWn8c0S5CfgmUFuTBtujqRkvui+HY8JM4rVizrSih8x/krUD0N9MxqaYFMghvvwOFfy+1Pm49osA
yyKDsCy/B4XKGCTl8jh0yGYCbN/hTGggo1MSN5QcftF6hZgqrZhQ8l0zrFe20/bZyfR5QLnMEgX9
zziY01o4k3WdtbZD1MpDZt9kyArcrBx2pbN0GVstDxTQxysGXv09kF0R7whM61XWMiNJCuNrlHTF
Dsp95JA077ualTtrh+dBwlpZlnS3A5q1s1O0d1XcXNsJk3plGcxmuYLvScS9WyXIG+z2aON7iHHW
rWqnpQtK6Q3JNrrNxcAgohvsm3rogvsCkdZWBSHcmOecnRIWwPcMkCpb0jQ2dEgUqGlEw2CVaznN
FzZr3i4ZAKBXEuTnleKMcYvee9rBPVD16pkspNdOYdAxR79t9cS5bLwTRUwKlBHcvomHbG1xsblh
aF+trNrwH8iUuW+NP/TNBgkevZyZzOXI5byGV7Woz1IbuNPAxNjQpP2W2uDSX2l/VjQfFxJknYvX
Sx81+qcw2PADiNNsegxZktACWqBdafX8NUFer8J4wS1U985emd61CUtC6+HcTpyGEiTXrzd6yu65
9m9MLj43fAkxWyawosL20zdh2vUJTprhfTfPLAUXkDQLo10cQzHiEeJrPKBKmIORXjjnuRe0Voe+
8WRnA2kXbvIXCXex0+ARKftdC6AykJjKklRn61k59YOQ5oOKKQotK2pIfRjHQ4vZ/TRO2jnkddcd
sQ5FS59xAZXu8qHoa0RylFJJbHKMb4JGm1BX0KdTm4tLV9HhXphR8VZ6jt7WjrsNoIOvUF7hmtN+
+cUNiUEyY/DDLM3+ibArCZF4dIdfDSoaZ1Wa6FSTRs+refZNzozutEMVWB7gmfMjZrivUojyNA6B
9WBbfr0DVbjETZ+eptl1SajZhCMty+if+zQNvyjabrYR781tzZz2qNw62BmF39zPbhbudE4hi193
N1ZhICuIIRUlIW6UV0mXHsbeHFEDQiB3QZ2Acpl39ex4a4rnxG72+nE3By6tX6ETFnQt80nwRmHu
LLtD8yIQIJdjnF45U8zKqM2Rb63ZJQ9wYURmxCiyK9qZ0nZXtLwivkyyfVD41tFhOI/bQl6lTvc6
NWN5HsvxZiTZ/ok6sLuuK7vahFY2sqUVN51d6q0faP1ua+mCcSIVoE19Ty3tM+EaOP1uhpkFtC1O
ZZDjha+QAYedzJ9GPbY3JBGYXXMTPODSPxVT3jw5VeQhtvPEpvb75rMuhpk7N4cCxqkl4ccuRF0v
uDYvnQM3qirCOwtP15rNpSSKKuh9t82s3DDI6C+MyV+qqaCO0OiuI4FuLJ8GXCtctyEIKgwFI4Ym
FmKkCOc99BWoKatZzR7nLGaWBiKO4zsO9pQQhOR2p5kQzKqwPQHWXjwjY4h3lSqwJZgfhYwP3WC1
R/bT7PLYxEETKIBh0BDufaNzaKn3BqcoYEFA+0tX7SY5TcSmKsM7+SXJI2HHMAjZIzldxBldCqg9
uMhJwmrPUT7deiEEtYySYB+xr97b/PxVk7sfNHgFryqncbMy+TYPSOTnZD7A3zwRgvdWuoeLM7pn
LxH9JUKPwkv75reIlu3I+PDi8lnY6bmI5UNI6pcNo3XLlv5XmP4i99zvgRvp8YrDR6pcsG7V2MJc
dR271hn1CdVUqtPXmO6uGz5BMKp+ug8GmxXKqKhmBvPnLgVwWvV7W9b5y2x/MorLdp6orbU1JDml
QSR3O3eiijjX8WNXxpqrWPHUkNyVdcL/6ve0Cn6MpXsdWdmbI5DraDCodZc1rHXz6CkS/sHNETl4
yRsynCPL22zt6uLGlil/dkEyQ1Y9ezd256t2iRwLo0s2jsv8IqoFwaWh3g0yu0/4Vi1mmJ+MHY5y
mDYGMhKcj1BddU/TYhIFB4lr5LbwQ/d2qpT+1WaZz9CMsg2UTyfML3LXB8O8z4fgJzQ/D+Y87j+2
S/Pb8pC/xJpd+RHNVrXLtbMOg9zdNb6ZnaY0gxOkp2w5SskaJgK0Jcq8jnxIgR8G3yAGl+IsHDYa
uhg5q1SBz8P9AGUe8oiA5zHlqd7gDMMvnAhCOaPoCAWRcSYwx/vNc2u5RMwfPBneOvaAK0k0P/qc
gvqWcz7uc8pHUlA3N+CaT6Xmurb9+2i2z3YSvLRTcZMD/6yKkfc9NCqTxWXWHKNorrjpF09m64zr
Bvk3ObrqNbF6SpZUUq3i8qcynBeZme16brhnT5XmTWvS50rY3QVtUv48MgxdTa6bHRqosANte+WW
tCHFzBQwvsd9hxrWicgxMhA5qWLZYKna2NT5wNlWNT8QxfV7R0p+UxMEGGfirYuWcAUCBd9rZ92X
miL7ls0kpztpUysBGbLDpdtuptQ8Fzyz7BKef7CaBxyOCA26ork0LQ8YbuXVr1FloOKIgm7PiOWh
7mhiCcDGIWqpysjbW10bIJRcO7YO5Tfnkk5ODv0jz80xUP3NjAhz1cRjujPBJDn9Ny92CnJB2Z25
EwTlt2HQQkEOcnwUBtZUVZDOHBr4g5Dt6MfIL3VSjco2cuQtFVZXHfDCdHvut+ZNVUcEbIinnfL6
QHNqspUFpKY51dk2ZIF/Tm3Peda01D97o/uLDl1BaqPo6R+xzRcibu0BaYHxUFV983Pgs31BviDP
RGQqcuPITCv0ovsROcoaNZO+cTudbx3GOBsAYgqvaopBQTuJHHLu0+rJXEKTGB9o60NikHIic711
ZmuY9i6quqPOMTpBrL9NNUdF+NX0IwijYhvX1oQrg6NQu+BOPvAYs+qEs1JikmaoC5f9nZSnqmmn
N2rgieiTx8j4+u7gqjt6KxN7OySAOg1OsUvM9pjTYlqdlIr6Ddmru2hR9PUUg5wpkfcPKBes3cgs
JV0ltMiWQsdnZ2yaY2Jm28Ifxp3PF51nKXBPwik9EHjDudK1aTMdKFBi7R+t3dQa4B+C6FjNfQNH
J+Q+z1r3ip8zbbs4jfazSzUyKVvvFHg+FtuuZNcac5rnAexh0MLGogTULcf2c/Ttgcb7kE3znJ1r
iglf6ML85HG8ufeHGktv2BggIUaHVStt+ivD1E/IBV74sRq/p49NuMPQF3Ec1s40rZuAkZsgc6F5
o5roRpgGs6EC7nybdyazoNywmDrGch3iQ8IlV1Y7NyqDcMdDn/PSheyr+QhWNHlymw7Y4aKB6win
khNr11OCtp9ZRfFUGYO/bvyoek+w3txj0DMvoq7tbTTxaAjqFjeXVPg/aUj275nHyTXKBNIeTlUS
CZqBM3yFj7Lq1HWqcVQChqZbiXr52I8wPFUdSNIRZb43YGfXQOcoGJUVn6YIqmZFAQ92B4twbFLM
PwbtmIdwDqfXqMTxkSVJw4RD/mSTmnA48JH12Va4ZX1b3WZ2UK7TfoqvWU9STUkd3ZGP353vyMqi
PDqskSjZ0XXYF8SHyxJ3XN+jHDFgUuerbOyQIGA/6O+mxHQ++2SoxckAJdn3A2GztS1n9UqQ2ky3
zqBGd4vfJv4i0dCotV1R2XKNuXN6nHPCguvMpPNg6xkjLh4nbbLXQbodlS7wBau5nR9NEYKl9Bl3
xyl1NmxNHhLZcc30GzR6QR3t4PzHjTdSJmYWUq9TXblPQVpQBNrfeLnVnDKFIrTEKcTH0Mrmc9Fg
NCJvgczIUbOGjWP5jdwjK5/5Qc0TjXfla7pcO/Fq36CHTHdJUSlaKXxrR8wKvVDitcVbRWvaqXVz
sZ0doo0bp6yDg+UG/dNQT/NDGvT1Y5zazpm6OXM7GA66TWoqEEAmTNk1+o6DVfkjQi0VdxtaKmeJ
zMvimrjkg1ZEer0cyJAUdqgGYxsDSdJWENGFmtGDtqtVyCx9qtNgQ1GwBXPadWiDaMDOWFgP1TvA
ukDqOqj0UXH9uelyr/vVFK6x2FWCYt/xUnvX3L8pNMPCeB+4mqtXei89P9+jUcZty/xyVflmeB5Q
aTghSAuTnH6tg57e1964YeBOKhxjiu4DLrzsEXYwtGz+6fnYq55gXZxU607S5WcYxCfHlO7w3q/T
swvLtEpr/axqpC+YmRFh6byS75JHqYPfg1Y0DZzk4IPvKYrf7nmkDPj+58k+J7K8HeuKP1UbvdJB
xenG7catYS31R/PwOWsifMWIJLScB5xBSAuHFuqmmOBEvcC8aFHoLTIRc1V0BirrGE4UA3uGkzSt
T7YXEx0qui145ilwSFev+bQg9GIqTH9I0J2VTsTPsVRxsMkTTGicwSd0Xo2J0CYwq/YKT1q3V8o1
iGo2pvcJ/ODvSfhWL4w/qjv6zdv7cPDaV8/3klteeZ6LGd3trL5Rt5zl6CZFab/L+fZtzF78ooO0
OfizNSLMC+dgRTYu+MkMlhM+8/LqqrBDwtAO1zyaWbRSakeSDLUPSWdEA2npt+1X6pjWuCUbO5sb
OYysHXO3AFfQduU/cS/t3BX6TKZZ7tTxGJyWQTMfW3+qSPmijMcvhMtpLlV+bt00eUqpBt5akVdf
0wU90GS9bFwCCo+nisYwMLhtFpX817tB37tD5ezRE5i3jEUU/2ntM77QTPRcBaq18znL0jg/1iK7
rVIu05EwV2x6cBY0xQZ0pb8NsmyD4EpD9CeoDYtgXTXVVzc3T0U7+k/FOCDf1iHpeLgvnW+UNb/m
xfgya4pdnTYVOxIUG0NTzupVbbguJwrAwpKZEAsd+sdj41kPRrzxY2aXjN2JdkVzfKqCkcBb5CAa
4KmrDt3k4Jk+D7O9gyccKbh95ASLOTducvowzZa74qpEuYtFtBzgGxuvTVYOOWPAaQN0CkO/adzQ
STeVO9PImeMw0YgeAFbdKw595VEkkjbTOKoeZD/ReadaaWGdztHBrRl4UDM4I9q5aEQ2uKmULR/N
sKoPTRryENnwtFJu7MBpToScTIwW5oRc09NY9UPGmuag5Cu/10zYNEeVUHduiWmxB4fiiSWDHQsJ
1FhzbX9OoubQS3DF3wA/4slgslg9edNysQQBZISc2oH95cgUxGwgprhP2CFwe2Ne8gIhpV7x3Kjr
JpnKM/lfdc/iUx2lsO0n00UBsJGuESWcqp0BpjbT/ls/eeUS8cmLIw7V1uSzjaiUaT9DO5xsfLeS
nmDFxrAc6xdclv0EZYw80Eyqr1QVpAlaX+e3JPLBnhsC8fOqpj3yk4SheQxGsFqTzcgDKqwg3KSR
obnvlPLHpBx1C1ie/czUHDAxxY6Mr9GB07GhbXUX5u+J68+nKncW+nbwGUNkBg9MsKcNKkpSXg8+
Sa+KgLdjvWswq8PQtJTYay+SlxTDD+VgtQ4vxkw7M8aFnYiC+Nmk8OirLET5zBIpeMnDvHwz+O5v
Dc0rn/ByIvzmJHmYinh+oSkwei2IGdMdEwftm2gM+c4U2PmR6Ykm02oGIViYaUdzhJ9t+J6Cj8ip
MhyHWwot4rjrxi+qmCmRZW6zpjTbWWkY7XxNMYT9bAAvHW2MuedmGPy3BJ4J/avGUDV58UkyZpbs
MdpqV5VN8D4zZOELUGb1m1e0wWnmrM2hes6afcoBECQu19Eu7N1Hbl7Fr77oygvZHKTjglPQynUb
UmQ4dhF7Gj/o1zYB8cEomN2YsLXINfZ9mCY3cByAblz2660NZHZhXYb8agyZd7lxxqGkEHn1MOmB
2lZqeck9TdQnEoXUyVm0Q3Z0hsk7Lt4NKupRcFOnw2KwxE1QrxMLj+SK2oDsESe8aW4IwZdnLhge
Davoui6CNopyz2PyKNa9qHmKJsGfLL32GUwpDKr4sJJmuGNgPVxwI9cPLoDtL7fusnNhFinugkB+
+Y7rnYO2gh93lEHlodXbXy6RhF+pSAcMZqjU3wrQk9ekabRaZbZq5MajSJc60sFxKJwrbHngo0qD
AQtSCrhq6hO90sWV4iCDvDea1nkOVZ5/FmHzTI9rsS40JxKqAUhQqSy0CD64dXqB4Z/ec5wfat0w
O+04TxHdV4ze54NuGeu5fq+puRxGXuSu6jlgGLKazVOCrwrdZ2uBChI1jW+msXUJDLF15RoRFt7O
DqP2ijhBozYp84rdMNOktcqLPs/WAt33XhD5o2ebtOu5r7ErrvhIiBuzUwzsVEsFoCtV+N6hd0g3
YaNf0fBUySZflOt93pT3EW+Ut0N36DxpFoTT1sxr9cnRyKFXLM6njwTel+FKVqnkQFuozUEKonPa
8WlO9J488zIZhCSUa+UX8gdBIkkMiyP/VRjYw5NslzubL4d9OBtM7Q1ioBRsTz+bJp1XbI4H6tSw
RlOLkt7zG7BMsIQkXMMtlzn2yB4HWwsC5c8mHAJGlq27juQEKmJZ1y5asZ57gdPIvY03KtqQ3RzF
KnYbFh42/+DRavueooXJsYptFdoEjDpLlSRFopjRmbaSj0A72VE5sSvWWdia1kZBMFPIG9QfkKAT
d13H4vbP6mZCj29ggB1a+TrXbB1YYvDwljdBnh6aLLU/k6w1ryY6TnnAnSdrP/V5sbfTHilZgqgF
IrlkmecVxyHsWJQplmkX6TPOZAfZcTfRgf6YkwqXcCWM5oX0a47GgdNEGVVfdm/5V67h+KcE2uoy
zLaBIsXhaY24WHOeJmxw7Gp5xp/SnSOxZhhs+/Y825SUutu6+k/uzmw3bizN1u/S98zDzU1ybwLd
BXTMoSlCg23ZN4QGm/M88+n7o5zZZTmzMyvPxUHjAAUXDKcUUgTJ/Q9rfetbpXsZrrw0BlainRNh
sNHeCqrgIcwygNdWYwCUzQSMOvb24S5v7CenMKc7A6LFi+Ey2oGCQEYqKeedI+MPUoWpeSBLw2P4
a1ePkA9QVQaFuEnLwrgjpfevhBiL/OG95MUzbVRQHNwWLn57kU/8oFgIE1OVZVjppadneUrHfFbk
zZ/IRob0zm7WPPXCiD+Yfc9R+ueCCfuP5BJIUNiCAuVCePOTvme2DCgf3qj3kxu0J88t60NfN2wR
TNb2qMtNEAchR2thxv3rMHOk1F2X7co+EauOTxb+sbPWOmPYWZIPmuYsmEggkruBMp59syXgqQ+S
sUzmKqgUmTMfatcuLgY7RhndoEvFi74aHGaDEqVWuu7gXPJcoQLmrE8NBtt40bMxMVYR6iBYuTzL
upo4NnNwHshgZjM2TOJcRe5LTC7C2lA9ya8GD/y4AFEF/hClnz+CxPjzt876vYwQLJrpwU2TFtNB
9ZOILeNS4u2zqdbRUNI3mGfbHqcCX990zAWSpWFCm0HUCacSROfLqOmmnUfqfMnFBO2D/JIo8JAl
hz2xLl3mbmMPLbaJwWFdjMblaHb0u2lCASzj+JDHifoLYc4iJP350vMcFlq25k/0OYty7odLL+Is
KXuv9vZmXRKYk3v9nK71PIaXs9HeibF3Nz2H83rJMb0QADm/svHqjrW5qPUYuDkCnrbVDBgRc3Qb
f/4G/1625yHOJLkMLJ2HMvWn9zdY2M6CyABscwyqWEUG3hX+8/ovXmah4v3uTfBsFI/cAjzaxU+v
U7Iwthu/9PasPwHr9pYyDgMEsc04pu6zRQPPMzIhZkf4UDm73r2LKELHDYNxkHWt5Z2wPiXIZrhZ
SifPThjrIfEk/oyMOjIfyjZpPv75WyN+fm94XpvCAZrLM0gz+/lJKrqARBlIcO0t2UIYrS14lMpk
OAicAxMbbchHLzkVZlQAKliQCJllrsM+DS8mgnQ3iBmmV4Jbxqu3n+v/vKPtNf/4d/7+UlDSRBzV
P/31Hw9Fxv/+ffma//5v3n/FP/6/C9hj5ctV9T9rtP+TRezTC7Gzf8Rw/P7Fvwq11UJjtDxTo70l
w0iiHUR/gVDbWyTXns0tIYQSWnEr/xY76/1ic3csiUc8xm1lQV5siq4N/+PflvA9zfWB5EwLy9Na
/h2C49ur/3CrsMux6XBMZS230A/PCbQEVRiHZnjUiJSItBFD5mL0LqZTk2fyw1BgQikxwScbxF9z
RnpYnz9gfpq2dQibvQsqL76aikGQaN5yAhjwX8xVLQa3pVmEpLAa6DfLdah8fLEwdJiG51qER4dR
1HAaSd6sGcwxomlcmdxNOB1wdSSe2zuXZTTra55KCec/Mgm7KpFCmYzmWy74tvB2zizJHmHbaJ7I
Yycw3lfucO2hbT4Og5r2HQ61S9iHSPdCgHb0Q+PBGZV34SEFX2mLTlym4FbIzW0/erFBPzos8Q7d
QpcpmAOuWz7SlTAc4jhGBf1Xsyou7Jn91uDN00G7NbPZVS+GPmVHT8+8ZjvuZFdUaADolS6IaVFq
umiWaVQaFIsnFErgXZK4CNLxB5+yqZE08mFwXw2ExCPqQG1QwjDP524xAYkCLFHGSdwZ+uS0rvMp
N0q5YYSO25MtIoLZvIEEPbVbhJDTWQ/YRIzKnRGKtM4XNMX1Zkwh1K+Ez48wRyW4aQ06O0f99dT0
OFSQZPh42DKKLVO65xaO1Z3ZuiSIwadgYOogiJpVhxCjrkwSRhvPPUc94oM509a1M3uEXHDJnCpV
ifsocF5UYY93RVjV3ySaoBsPejgTa6hryTkvwiY+62Cq+w/pZJePRBWSIqUTNNF7D8/6TUkCuLVR
qYDotYYIbi/aIDrL6xhGz8UgsBitMHZnX0qnE+KCzBeGO6bSQchyoaSyD+ecl1NBMlOOB4T5FAIW
ZGnUJUUi2SbXc8+vvUZRHe1i/lFtyS1g+zaYVXoRDZVhkachQtI3YDbfDXk10LljtY22Zp3Q8JNk
0KJjEjG6SZvRdLPPFx0d3W7CPhvXY3CTtYF34TI0wOJka/82h4n2yOjN/toVbnfAzYvcaJLUNJIU
jAL1A+mII4KyQ0nim3XBel6P2wE2+EfXiZNrrPT2Tei73R2JF6B5Gikeosw2dhXk3zuYPghBpVnn
9zMIjgcxY6TVVYRIerZTUFd66AEZ2w7rPd2oqzAh5omlReVscbcXlyJbXIe2G1ubtI3UI9S/b33Z
GfyqXWMBB3ViHO7JNH6p5VRDYxuRLa0asFdPjRn293Ag7Ud/VBBf8b/6JQhV1lfrXmfyCzRWwfwk
GnyL7UU1PgjavqsYXTrnfk4/SFCacGDfmH26tc0Fl4Qts9shdXVfGBrTxhldS+M/QijeulGETIak
mumLqWvjZjDLTNKl+U6/ysw2vDPsuLq2OzVszNnqX82snqO12Tb6E70A6L+5DLX3EFlmwKk+TD4Z
vSPKZS4O5iWtMq3Puq6z+3I06w9mbTvhrrERiawnLAKXBjB9MgqKrOk2gDfGdFP4FT5/ZnMkjo32
ED7D5QOLmLM7/VThs8IJn6hmppagfLicCLMvEcMozM1+5HYXYUxmD85hCluExJ1aiVY0BycYjQ94
m8Mztmn9XIyivde9Q8p9oZBP8cGRKbxmmINCQaMfs7GZ5+7V3JfimDEYnnZtG2RgNSDiJevWjIzT
FI+LbtMMmVqN+Gq/tZ2NObpBTpgy/jEdrthu8FhA5N3nOZTymVCCCZaY3SvUXDhHknURVcFjTpaV
t0tCFRyTxiuxDGRBSmxIG+ViU2F6RH3UkwRWx0n1kWS1mTlTjiA7NbBsokzVw9ZLNKGZrYGWlQHc
jKqhjr1TrH3vrg6t/GZoxTCv3KZG1CBdua1N36JEY39Gn6tb0P+z78VPtW0Me0lKAHwCxyGH2c5T
76UCE3/rcmmGeHyyrtzUOWQE5BopQejc8a21DiM2NWjgemIGI913z/FQogCIx4hRWJWjT1lnPikV
9URWx3qKAJkgfZpuc9yWXxLipTNAjqzRz30yhod+tpwnxK4q2nZT2t5oRiWfy9HC4VfJ5tuI2Jqw
ahZLILbtOPg4DSnP2aRX4TGr6Q9owgzHuApYnQPDwxh9RDtlrEUkww9171oXzH3a+iLBkRjvIaiD
UQpqPbB1CeuT0kuKUFjNd26UkfIHhBBCvzDH+9qy1biBjeUf2bC5wU6MMj0G7kAxPHdcQGvLmsBH
dbNs4RXpftpjaJdPrDTrI9SN4oYtEN/RAxi6QjtH5E5tl5z6YVMvbuTKGM9GPYAnSJ3hBetq+xqU
KYutDmh7vYmAFeKB5PZ8GgJNngEbNLUmrrDa9LkBbQv5meJkjqePATHXoN5mw4tWnlfGHbkd4YBo
GfA961buL4IK+lmCVdDVMZ679sF20lhsbH8sKAfwh7CWMAb0ecKurrUB1i8lmIIk1W58LAv4SMTc
Zy4XHpGJxF9G5iQ3PCHlJV75NjuXANj6LX0444WxYjabm6qYF6BXuZ3KEEUGxwoj6UWQjy6jDV7m
epaXjdaJudXVOMM/JtAi2GS1ri+bGEEA5m1/mi4GyEjBUSNWDLe+DSGq9KgcTDC1H8bKq75ij9JH
0/DyT46ThB89yKfTqrfMYT+Yy3Za2O3eRflwnBCHrWcj774xQgBV5UsbfAeATpSemFrEEUQO+KCE
/ypm5HKmlCqQTOhpLZiFkLIWKOfFVogiVsxvmMb29XwxQ9Y7ju1Am93DbrhJcaJs0JJhsg2Hoth1
UGkh5c3I0MDy1nfScKKRe7xuiJIiZWfV83E+z3gId4lEQ7hOE3t8KNCGHUeyaXi6qFldRzx22cmk
IBF5jlafLJddAur4fj85Ffd5QWTwqcComKwAQKWHUfgt/ADEypkrZhTOmtzCRjr7shrKA/pcMawY
zttXIUK8A5hJYimzhstTDvBJ/FkkV7XIiq8hVBQSqxgB1owvnfB6qrX1oRgWSKw/9i02rmbY90nq
nahTiucWdQ8hDawcgPoymD/Ytu1ddcSbXTA5Tb9MQR/fe6zG1jwym4MBgWBnlU5x4bFjQKJUcEj8
v+243rVptHK/tnqbp/bp3V8A7EbtdMvad7r7CsyjfWvpQLAv/+W/+o+/2lMfpvLrf/zb02sGnzRq
2jp6aX90riItNYW7uPT+Lxuqf36D/26q+H4m9lY29dpbOPa/NVX2L8zUbQEpmBJdvvlif+uq9C8W
swC6J8FXoEZg/PPPrsp1Fq8sTdriMMKo+du7cS5SKG759574jwH1uLvfDyCQ5ENQclz8ShaeSPXm
F/uhu4JbXU4RKRrHOiLrGVJQk5xUw9yf9VzX8hhERxEfEBuUrO7LGjA4LMmuQnmCfczQNpImYdVH
KCOOey1MAqi4VyP+bDAafKaa8DgOIK/UW7aIwcXMemCXE7FibtFQyeCmcJwsOhj2VH5GhwarhFKY
SDdKrgATAzeO3hLirth6BvZOtGoZ95T91pwGC8Citsk1Q9G69SvmthQ+eUtmhEVk7XoevOHWwxUV
HcaCDLG1xRzXOlRjXO/rbEYNZ/R5r8/SqmA/2WWZsWByRMBKBH8+Ln6EGEkFiA3k01DiqsI9Fa2k
zsxvYWQWEEED7cG6AGd4h/7MTveenwWPlQ1heq9hY71I12jPLOx8hIJsMdY6LgfOjtrunyivx6Oj
oQ6vUBNEn23DbfAlAGLCv26at8ja682A1eQoBIsllqg2OlrQae5KAhh/aF1rehQcXIgDZ8sngdgs
sPNo1cVrOdf4PyBLZg59sZLXViaGazbpxqXMUsyNsx3NNzLKOnFv1UviSG1PVbDDHSC9T32bV0ci
SxuxTT2zIgKcZV61n8izLiCZBtxRx6ppHPOkl/cFxNYMumoXpyrUD004Uea3dY0byi1xcxEVvG2m
fnmzwiNTA3TweN0QQrb2pfTs6qATnU0nMY45XBvEYOIU0Cf1K0Ohio558m8YfNFYQ0UEzWZ+i6dq
2uZJYq1RZ/lHFMQ9y1/fou8TnDpdAxqalCI0zApNrIT9MM12u8MZMiG9d/CK4PQY7I30OnXfe+MR
eI0o1+DcvQsj7bKtHfv3xI8EN0ADP1klCPyEWCgqC1xenvMqsuyY9/VxGIN8D8UKxGLjQfchkngr
5za/DiyJYHzh96FhMo7u2BP6J4HapxVTdnIX0HYUJVTtCn2RYSPYZrw4+/qapUhzrW1y5FhGVVdp
OCg+VTt8tfsm3RN+k32KWie/6WXiHLpFEUWU47QyvBBZaN8EpwR2F6jDrrhTQGFu6nxs1nbiUDsB
K45XY2jisUnHewxrFeFeSXCcOo63Sqn6onRD5uNe4W/UiCqfRO5neKTynt4TDlpOMaZY6e5cP7W3
dj5AssLZueqRuUai7a6rFIrqyg9NSFuT0z2kYXnuy3rfc8wSSuyA16rjsD35JDGunXlqgR9GcuMQ
l1c41r4niQv3DxwYyBmmMu7zvPzaddE5QbmN5lXAB2/bdp3HDbITiOyPBLZ26MVoH4G15izhvJKH
kXywe67/KTNWDip+bLt7gQOKffZsfq1jFhp1UV6WrsINwPQHeQrClxp2vMrbyy4LsW1w+t7IUmZr
YmJng90Z+q4U7X7gO3hbZAoQMGrVDtR/cxWH8McQcaBusYpxPSjFwn1y5keDn3sXx/68DVMi5aWM
h2sdJkxBAVfdJ05x78LBuUgduCAojPsdRjK11fZobxNATbc1msAtW1+qAzebbzjwO3szZaNzCEmj
ozQHi7mhF5bmGglxsJnSikKUJmT6CISTqhY82Y3nIaV3SSrdeqGziNHrb2VF2ITZ6epidH25CwEV
bVthozZO+uyM+s7F2NjQ26cyeS7KPN8h1CRHJCBB6rykgG7S3tQHrgSehC36xq0zVfrT4AHEKpN+
iP5iyyGWBdD3Q2yhSEBIQNgrTZNNI1oJrEXLFuSHw8mgG8oHmoCj1WNbXkMu9S40EDcYKrk9IPId
Kb2VC/Cy7GS5AxOljkMmEeT8cL7/emy+pzYsc/j3P4lyhe0so07+T/68qqpxe4xg2ccjzsZ93Dft
c4gedL5l+ew1J61zsSgoEoW1dc6Gu34ClIX/Km7Fduop0EO7/ziMlsMDdrLqYJexbkGPRbZ09eQ6
+G42dmM4n6rWSs+e5+fXM1roR11BykHDwpM8G3oSDHLi/thTh9Un7htjN0K6vLf6wXipQx9lQaeD
D8qUtOlhFUSPbYRjjx4F3q4ZcTXp3vwEBRzzSxSOt1Xhxhohve1tp9nElBK29Qa9j6RPl8FpKOpi
3eq6vVMqmy4Bx8nrLg3oTnNsAnJMHy1ZmLegki7UIGBHLaedWs698u0I7MeWFscA5hxuOaudu/Lt
vAzezk5YCaRCvp2ols1+HDylPo9OggcnmMUnF9NTRf3LuGtFBli5YY3fWZsgwLMaden4gTzhcIFf
L2Mu8Tby8t7GX3BuGIVFfTK9OKg4ttrs9QnlJwMzWMTyQDw7Guam8qy9JMJELY8h9ylCoQYuyNNH
w7c+BAjLjuVYBxsDD8A2mSecBrGHjNVghvYFGcQy0cXEco0Zyrl2U1bm0Gcp7cOxDbdssADBFdPi
shvaF5nF7r0OVQ/FEGxNXWbO3qpqDrflKCUHRxrPUG46BNWxD9w+zN1nr2zljYVU4WYyqIsqM6ym
NQ8BONWlF1rzves0yWfHSssnBxRih7uwleOn1K14k5widW7aeYQQPdguRRQVGCxYv3TzVwMJcrTF
hBN8Y09UVOc/v02st2rx3W3CgJ4lAegO1gWCsKf3N2y34JNkSD8YMfC4LhluXhVDhKWtlskxz0x9
rHSdDYwUCh9jZHHCweUTJlBERDO4w3gBdb3iMYw1d8M4GVN0niXDHYPAIt/YHLCPddaXQDIjWd3b
QwXa3ooxa0zRsHXVeEJlcBrSoSGihKHeldBZ21KJjv5LbqB6h+LvHl1Qa7cgUEZqQXjhsGzuSxme
css/e0SdXWGuIx1RouI0g3vucQlmeL5mVumtXdSx/U6hXzcQ8CBT2dTA+g5htOTQwrCj8xOxeehL
lZ5dNzbPshC9vS3w3T4I2Mt7WjRo4WOH56OQBf5EpAXNDQ+X6qzRfMCm06w40CEaA8GLrA62zpgi
0KlQkaw7UaPIzaDbveLtqZYxVXfqUqc9W+hhPs7oOTaFjPu1vQQSeTCWMiQfyv8cUo5+Hp0Jwc1A
muXOb5G+R1mFK8vzbUWxG7e7WE0LK83hlrPdgfhPp3ZJdsaw8Zr5qO3XaUdSAcPhPNrg2pvQa1t1
lqPnxUnlmrV/6/de+JwJ29+3Koi2Szbi3Yh4aO8ZQKHHyOkv0hhZl2VG4oYzaeaqZE6Usgq8TJCb
fUGYV275du1aGDq/S6IYS1fh4JciH507IADc3g8tixZagHDndp2/RmpNIIyq2s+9JaIHA4fXRwgF
+cE3Z5NdNuwEKn9iqOYG8HONDvXS4Sm1RuVHvjdFKuLTUJ1VKOIPudmw8E4gLQJW5J25iKRpp4wO
Xf9qIllo74Jo4772YnlVZsW95xF52+NgX7lvJxH8ZfvWNWqEyDNZkEiD2aKT0JK3+pwnfidX5dJ9
iLdGRLRjR1zoW4NiLr1KTTkwQ5dcWhifxPAGvdAUI7XPrWd8nrQ7Ho2P9dYCMW6Qu84a1Mf0rUXK
LcNAPR4NzHMjnt4YQMia/BywIVqIBq4IbuYSYStkt2p8tbthrJlXW8AT2qVNi4uezoQISv5kmCfd
62ggoBX3JTkkhNMeKxRUDMYqO2jxycE4QMMYJ/Eh1i4RoRMzfWdTR6K4lJ1kMlG9FQPjUhckjnis
dEk4YBs8JF70iKeGG8SKaSlUdAENbz6OPda7UkAl4KdudlhKxeUY0ls0BoieMpmapz9/UP0kPdDm
AqKC+GTbpiuFhCD1rq4wKekS1mrqiImERPRTldRXZf8dtfK39tH/2rL5j7fW/wunI8sO9od3ehm/
/DpWuXnKGKv8J57S7Mdxyvcv+HUS4v6ycJDQunLBuYD4WOR+Xy9r7xcFAsxWjCFM23r7l98mIeoX
uJFso5XLF8PmoTD7bRJi/8JamUEINCLHkcvo4m9MQphKvCvxKHMQYfBKRAV6yua1fpJCFSGzBdS2
FAkhMLkVevpQbDsKbnCwRYfKURdzetaRH4Zrz5M6X/fB1GKfbuMlKKhVfbOqHVPVePpascu1OTsr
mTkdYEij86M9uVLGQTPj3XKw2l8n1J1EueTcBYyLOzzknUYS6vXR0c2DbQw89mxHuXXrNcJFYTq5
9BlGTuyCFx2bwB+vO8u+13bZrHkHmY6Xot4UhdVe0ybt0HZvYhv4AlCcCzSXa1XC853rYcZDjxDc
asGCzLUudopHG6aWbqHCdBNKQe/aDwxxAwwk2NtziIUvii4nK9Wb2GArOSMI3hWOfCV7woFI1rxw
Rut9UvKQB8w5r4hVnY5xWbS3M09IFgNm+OpV8MeXONWLXLRPajT0wVQmxPwO4OPg8Zo6cr/6vRI3
LU+oueucnQlmfWXHxo2LfaOI52cPkaVBnEWb+Z/GSl62VXplq3hDItEFkuZ9FJp5uFKV8WIXetj5
o3xFZ7lvaGeR6U8sRVBIQd59CLwQNECEz89JFnNEgAMAseqnFPjvtlXqkbP7Kq4BXWpin1DtrqNu
5MANIBRSlkDfH5p6hVP2IsuKaT9F9n408EkyujwndYnpbh4XJ16QIbEu7edpMFKG7655S6CGdZq6
RRuJQvFL1pAAsyrcPnixfDTzYTzyHTqcfbA57Je67gwYEJU+MSoGCDK607caP/QKpq6sVkUzkvJW
ZsNVHSYnU5TE5tYDpqmpJGAuoMjIGnZDKJBb+rMO75827kTlXSRdm61FQLz8ajZqecIb4JOmpc9J
obzN4M53OixuE2ViYB0US/RoODocJQCIQa6szMS3zl6PVy5yphcIzONOG+kXwir660YRhGSlBN/3
rE7pHTpnq9ggoyhjy1K5SHAZg23zUc5rvKnTZZuokzBs564NmkZcKeXHS2B6LirKWiOSyOuTjATF
LO2gtLICMLZocd0KlT2/7CbFdQEh3e08zChoN1jRzn5mou6OXX5hdLNEE2t2iLHMmp7gZ4lnjXGF
aa67HtzfqjQp9bewtaeAnUuI3U6JwlcbMr2HbhvEAgY0lWg4rlAt98GVYUdZe+iYOKDxsECbQ6Sx
o/KTkcSMULmfwXXiP9IOemFzYer2Ou9vnBC96gHmdT1dYgdLhx2GT7ZK+P1qfZ9ZlVMcEyc1im9l
Es3UiOjquQOInvTWgYUVC0y0n5P/43s62E6EF2Dg7mGg7EPpTkuVVA3utqW0Cnd+ZujmtbD6kJgv
ASR0IwpU+cBTPecLTrXpE011d+G1sX+mG9TTJvZFVK1cmOTFAa0+K2Srx9+wduMR7isdReBsVJLy
ZimkkDUlLZaG4APuT+4QekQc+TMrwxgATkNf83XwF35FFA4DaDjmLsnZLeIs3s3sdDX1FOOqmzDJ
+fSZ+4ZUxaOFNgR8KWJgV7NJm3Ax46DqQiWOblW36UuFuTLaeSrB8mJl8ElXdi/mp9xTEY6cLrzz
8hk6R0psOc8UyFoCFPKnvAzBYE3+WDuriv1qSgCQa1jWF9YyIXHodvs05AV6zjQcq+uuINQazM8c
H7MReYp2jLVDTbfCG/wQt+ohbMdHncdwQfJq+qwd3OlzEqa3MhY89mCtMyvL23tqy2LX943+zOgU
NYJs7fmLMOfXwe2I6DS7/KNv1ItfBacPvNms7ttLl+/LyKBFesdmcBz67KoFYSGpnn3e0X4iL9EN
QAitAARXp6lOyXYKR4zPwVC2FgP5hNRIK8/T4ZKn9sce07fa0ey093FGmuwdfCrAsKlSegOk3b3E
XUZy2FS3jFYdOBfzgWEVETpmmoT3qRLk7ripIPo8QoW50bUdPdTM1/svQTGz78XlpebFrQQfienu
SmCoOSTD+DxCQiDZiWtZrIgO99YWQZo74TdLtGrTnxHRRyfbYODbwxa+1rK7nRhwHf3QjW+1a3a7
Jp3zD8ZsqiuDjuxzMzrlbWmYrF97zMEPDdzc28mvs/Tce0XxnEuHiSgCraPfZ4pdeIfsw/UjcWs0
ePOV1Xon1qjspVsR6+fA0h3W3YTZMjbDiChK2SEe8Fupv+l0rq5K5qLf/JCSeM1IVGG7MCpFXLox
sVqTbhhuFYrk9BtwojpYkxhj3iQ9ykyi6d1PGfKsfcS4Su081I7plQC9y1NhCrcLY+ShwOoWrJtk
yL9aiK++9coYHofKQggAisDbuA4uArrIFpt6NM7ViaWvvA7Sxsiu06S0H4xYVtlVXo46OSSisAG0
kfgUbz0z1I/Ao7C2xo037uPSL6wLVyRAno26v8UApR/MIk+v8qiNxCWxpOoDIb3Ol7njBImmN4dD
NgWPbm+Yt9YogpxxZjpeF5Mk9pdt1MEfPLkVgSMuw8Bqjz14QHpxUCcbp2MhzDMCQPdu0aegJTAm
22I8PTcfRqC+N4hnQReNQVOx4sWAwPjEiGgk5iBbgtCIcAPIbmJF68x5SpmcEtvS0COBVZGycW7r
uE8fsybgoiuCQPZbOPa+JE7HU/GFB0xmPmo2Vj6ccaT+B9hqnH/saLBBo6MwppPj+qF1a5gTHQt2
47bHfyoRPzdySSYsQ351QobTIAFrmZDQGmmR4LKoPSe4inLU+msS2/pbYaGcvrDL2TGvhjiesy1j
5FKvkSDegQvBNzjHxtTd+VXklB+ZIK1HDIzEpsTlChiuyfaCW94LwUkMwu2vEwSX0Pcq74HhlHsb
U7mwCoGNiOu8WjZjszx4jh5xMETWgfMsO8k5zQ5aNXrf2yGSOBJOSYuIm/mqYYXESqiRxmWErb9a
l+jvmDU1ff0yaoz6K0TilA/SvGkmxlFR7d+Z3PBrRs7+tnXZ3jRMox616KpL0kOCD3GDmZxFtIEt
uCTNnVFGGABU4HSYjWI8An+uyqu6KAgMhIoYMwsYPc3HWraOxKUW2ownrJR10bKKSo1QfrCHFrwr
VsYBijejZwwrreviJI8hCxralx8m0eP9K6YJUos3dd39yAi9PAqkzhfMv4JXjjkeln49OCMTgVAG
hzQy8XnSfzyVIvMuJ4Ra59kuzpUS476JOgLXPHgmdT47V0Vd6k3eOZfVDMggt7Ddu2yIiFvwLwfD
mZ84MOL7QFnpa4m9aF8llYBDIo3kKNqaFDJameqVyCJKMLzH2DKx6wPL4IAqx1DBX4/qWGzNRtq7
SioT/h9bxno/jJTt107YevumGCxvNYzjfEpskHdVOxUvZTMxpzdAWLUiwmlamJZDIIhMPX8j0iz+
SwPGX3Q8P4nPcdflZlG049HGH9fivWrqC+JS4ocfesA/mJ6/14t/b6w0wyrXtlylLOcnm0c/Z3nh
+8ZwVGM95Is2Iia4prLVX6wLluHiP4ePy+ssn6/AE2HSEfLX91298Ayr1Z7THecu757i5YR3lxzY
VTBpcBCjkURfU/IwkAvBpdJ/8erW+xXB95dXGGlsD72sx5L+/ctHQ5AYZU3ApF2joSOdsr23dObu
7KU46IcmvdWVrIiIsqfPyVSMm4Bqoje9h5nqwn4rM/AppUvhkbvU/fN4HlVRHF1ZkYZgmgEW83hu
VbkygBWfmrrmUVXgBcU2FaLidbzvgvp3evoftx6//4XohE30/byx2sJl//4XmqUdQhvoyuMcNYhl
KsJksMUzZGKMRPYeZ3yQann884vl9y8qTddk26OpTF0yed+/aO2TctknXsOLBvOVVGRZZe1neIUX
kZqqvzUHWj4yXgzbBb8g3wkq9PsXCzxp5eAL2uMwR8YWVcIrVp9dZo7tX/xWv78F0HdQhqCwYMhB
7MP7F7IwMZdY8PJj1GVWe7JF6XNwIivtDn/+9r0ZRt7fBBJLDV3k4qkxGWW+fyVS8OzYmZ0Utaxw
L8OOksLvxjAgRsSTYD8taTV7b47o8xYR2ykBOGiftXCIqKPkgwhL9VeSFb9pWXrNh/GtPqzfasU/
/1F/956AQefSglgteFvYqf30kxoME+tCR8ckDE11LHXXnsGa0Sz97deR3Pbs7pZJEqqC96/jomWo
gqALj7lPM7CpFSRAIuvS9Du9/G/N+/54kvfOjfKvjQT3X4tlpNb8bGX53zgUVJbNYvZ/1kvdPcVP
TRs+5e8mg9+/6vtoUKF3Yk1LfhY3iScVo7fvk0EXe4mWiocPynPcRjYf3q+TQWn+wgXkoWp2LfuN
uPzPyaD8xcTKiF2Fo0AL03H+zmQQQyJXyD/vKYaBFvNHGk+F0AgRl/vTk70wy5EEjBbuCDGP6d7w
x8a/tlIiHlfgC91jTpsDQoJMCxcfZczwsCIYON9QR2Y3TU2+4ipDk3Rp0c5RRozyyq28BJTsVNLx
ksVVLnIlAnvII8+s7srLxl2nYkkcWaWGdj/VEkNz35cz6eCOAS4wsuE010ONjpXIkmMIN7re4o3M
yr3LzuDzHI0jBH/6K1B34AprYBZZ36zN3A+uRt27z7KqmG5gF94zfdfnGZ/bdcV8aJths157JKVu
S1h3d71VVi8oPo2nCeFy9sFMffeZtJccdXoQgAyzEIuuYBWE2OiJN3rtTcUgjYcqC1wIbw7hX4rx
oOqz8Z7UwG4fsVmyrkxVdZ+nqfQ3CLjGz3CwxmE15GZ5Q85fTeoJ4CuSWPJ2Jg3bskIT4b8hZ2QP
5DXgHqZyXfW1AGAR5MCCslpUYGZE5wG8ETJ4MnPN1A+X0IIXSeCCwSCt6xuUBs5nTR+45MWESzSR
lxt4XyRIiD7ruxkRr9fLS+TGTb5vgC4tKlfCOm1IK5+6rgUSa7WIJK4gttrYPMY6+y/qzmQ5cuXK
tr9SozfDNcABOAB7swhEHySDTTJJTmBs0fdwdF//FqgrKe99Jck0qLKqiWQyJTPJYITj+D57r72t
kyJ5MzuV0ntiVZcsbqyPyDBYUysbwKjCkAQhfqyLY5XOZCnMipb4ACDnY94WEARmt0TbtZUDxXCq
sVnps7IfI0Bdj3Vd4dutZy/2Vhi3yjtDhkm94TsYH1mFZZcCxtgt1SwJa70JsnAUd+3O1MfwKQlH
5G6YMzE3/rhQI41Bjpp/qg6aGBfDwdDWZjxqxlZpEc44DfPMq932KD5eSbXkyYDjyFjR6AW/M4O+
pJxg4ANlspQdB66cIHCQZejXVdlCdekmB+M7wPH2USH/z1AAh/E5kZ17TmLMKNiLYNJsevIyFW/Y
iRACUXtssUYTF+ZuWUzS+TAkZrXpatzKvl5q/Y4LhTq3uSVuVTu4KE6tvfIoy8L1hfMmX3tA8i50
SpnZ3Uh9N8spBPwYc/XFWIz7Y69HzS5rC5tVqOEWGPZVenKwe2mIYo18rzrd8Q26vrRto0zoC8EE
BkgfTRCOdoEjuyjls4cK6K5yI4arXrK75bbYL3qjCeN0K2vsj5Aku2Rb0iGy1UtddaTVNRMtfejC
O4K6EJ7JsHlPOrvwnyDM3DfZu9bJGXDbrXSNvzwZSH+iWv9UfcwWoDQhLkx4c14dFAr9hjt2KcnQ
cz1deWOmbupihoKYKmUdkeMWwTnrg2RrNpV6sgkwvUVJCJcpcxh9dw3nQLIV6azMPWhl/Ayh1PmX
A703FU691IlOqBIDqNTYAdUc0Q/Vr0fpVUzNmAX0DYAohM4al/nVNI8WBExon93ac42FI0MdCVAe
vZtAjMOZpOuSN+xraWnxKyOxBqzZi7KPCS79NvFC81zwCYdVgLr53khZXjtOZe9GXZ8BtitkdIF7
/L1ReXLjToxTp3Gm2/A6VGX/os00DiV0Aq4NnXoGPIjhD95RgJhzj3dlQQ/QlocJEzZZh2uu//pA
3m25a9RpKHY2bko6553+PWlw4eM3r4EpTbAyojGlpDsxVHvKO6OX5xCR+J7Dxs5ZW1Lr6yaaew0w
veAfcOrm2IZV+hRjtSLi0nEjwOefaz9rfVSoQZ7+pYZoBoueVET4WJ4CI+PzzRQmyo/OrD1sXDUh
n51rcDo+WqOWsFnVc/hSqm+hNFlFw8dsoBcD6mYxm+KqcaZu7wSlTTuTkRm+MeDFzxWfFKttu2LT
kqA7mXb8EqJ9wiuNxYrGCUUxrqru1dBbhKVB1+OB1O4tjjOsplhvwMan82Jt9zKxUdPcv9reCMcj
Hs3i4qUaa+eeFpqDUdAUSkZkfuogi1YbiG7uxiCWUuBb7az4XrcwqPFnIcbULfo6REGajNnfmYd0
FDj9UkKJHEeDTiYzqJwbQPnmi0a390VAdt5yy1Fss8mVXfKIDQ/ffGhjd7WH4iXJ8nFfZHI0SehX
8YdUMiIlw/S40ebaG9d9nw3OQ4gb9IutssixFub1i90AuGIn1VKLBS9HrUH7lx1k4SWMBb6R0A+y
U4V9EhFjY8/BRWEU1jcAs0IUr87h1LI0RL1WSosHdxrsMRXAhcy9ZVEX4OXznPEE8VnsQ9VHTIc4
9CvD7UFkUg4cpJ16JqQ0BLAUS9qRre8y4eVzCFQ1c4qz3bN9oUvgDljd6ANi/VmCs1sFIWsbNgYk
OWM7QMoh4rsaW+sDbRUKVEQhuMAWse76CqDbFEMp7OJVUDufNrXIXWhpOyMGt0tOEjiCamNALGS2
rJ+oitQrlxUn8SrCudquRGkN5sGSNqrDZNVJdRi+y5ttrVyyfwQTaJPPJjg0oZOpeTsSIRkxk7of
5XdBtCAQ9hjBSyF5onf0QA9p5o7XM2+fj4B6WBiCPaOOFeHV8vWloNrqEqqqKWbbp+SINih/LM6i
rD+psaNIjA9EC10jTg5ll+kbWmCdO0wEtLcCb/PxmADUc2PxxSK2e+b+2frjPLVvWm2y+JqlFfuD
nqArWnYgr2FZSMgCQ0H297unmwQind1k4KisBFlCjTMJlbhcu9+N36KO+/m6dilJ2eS8YUjMcLee
FgYoNeJ9E46HKtbAlhs9ob1sNOkTLA1lPgknSpODhxX6061xI+cywyRrwao65IBszDUnQu/gmtPd
m3nOzAmDe+NhE6nACnQCF2NnKMwzVWse7abBmBP0UfdWiaWWtMPny97G6RJ/sjqAMeRsISuqMJid
XSGNHDOmjjGH8FQG33aygYGlvMpXBoESdgkpVjfQr/KYQlZZVwKFkZWjaB8ZouBZpDQLvbf11Dyp
souOWW67ER56FxMMD6XxGgWUAHHmNTqAOcCBBoqpkdworousNqTd+ZXUotk3UqCs5z6M84PN6jTh
ONPFFpjB8vSbnZrdDnZgTvcMO5Wd8TFdoxS6fs7S5pasMoQvacJatCEfUznHFhbjnoI9YUQ1tQRV
WPpuKCDqqJi/8hyXDnuEhsLHqzFpG7XmYsv8Ir36VlS5hGzfIJUEQnZQoklnUTGsBO+T3maPgPtD
6du+TXySaoCcuihmFc9gemuH9nCChyTadRAZbLU4xu3HdGAq5siIpmpH/Xxab9wIs/5PQGvlJzYo
Ed+l3cRxEQ7LdJRERIR3qNHZK4NCcEcScwrPblUBRgfOOYFzMrww36R5jFpIo4pYonHWRLodm/Rj
GlgkUqk57G5UOQUnqJ4Ywajy/MyVbdwNaQ/xHyhjdhvNBDFFrXuPoh8xFvae9wnyUv8xae5wcm1b
e570gNZdYOXz7VAm6pnzl3HBwmlqrXO3ZctWQCNdDYs5Ty9YDpbxBG9K8Yz5KS19qfNMrQyYL/G+
dFeSviUtQcyI7gKzqzImZT21yIhlTDEtCmoDld3Nj9KhGIOEemQeqDOkfLnWUzv2ZcTTDTwkjkbs
1FEYH+dOpidbEUE4KMtgrR6TT9N8mtm9LwIa+XvL/rZeZ4MqxKblLvVITxkWDBlhYjJ2elTGGnJi
Ey12rQzQmaklVULwfhjIeBhF6WmvJcCq/ZRgYSBWObOwpg8DKW1czz3XHR+XUOk+1SM21ju7ZC7Z
sd0UREfT0bDxZAbq1S6giE2hTLZDB76yGzN6CYVVaruxsOTB5PPEG3PWaNKOZFeNa1SV3sR0FTKw
Qhx3V2R6HvB61/MxDabgNvWYCS40vpCvWNEVEYozOXMNhng+KDxnbqhIyyNfmZCke0hjq4zYzBRD
Ya/r+gqLCuNRVcY4w4VR5dZ1h88sONpG20c37uAoeSPjIKAUsY07f+zt4rZjeaqdKUZLqocp08W8
8+oJHxkugig+EFCNkyckvibf2w3hwG1FDLZ9yedJf/WgBeMkxbgQsDr9znCSR3cYkmhmobo1xp7G
dg6ZcCsa1hZrQ0B/i/xwEvqLKfFLr5uuYaFWB3SfBdgGvDOP73rYp6wajtYEAXUj7NbYo3mnuw5p
1GYMlON9VHRELqYYR8Y2aiocgIWlwuSqtJzBWc+0B3VUU4p2W2tRr/ldOMjdBFUrOJoNtUL0Wbk8
u+jacIJjUauphmbFmpxIdCkpiNfYcbbP4wI4q+pxYsdGTspZa3Vkg5KQQ+dWRxhpk7cHEAz1usOk
Fz3ykJLtgZB3wZijD8O5H7CMg2iP2z7/EdFRnLzhaO/L25AMlV/ICgBAVFOdt9Jb2V+S2oNcx3Bn
rZqpqxy/5cex/BIyyrw3QtchDM/iJ9u4gU0Aiexut3VEUwPMI1N+ivP0GRZEwEQODPwS0QrynltB
9QIwzyMiqM+XpA3vEvwN6F0xRYMc38Nf8BLJLh1lFflxwIZHdDmPqSLSgq85ZtY7gAXnZoTEQPVN
l0XT+xQ2pnloByNkYNX79ljXvbpXRi3XJA+BXwlspYferDVrNVjZnQrpjPILr01P2FwpcEIqwf8b
uJMNx1gL+zecForAtu7Sb13KJndwNnCv2cdtE0oIrVP42IZmyO+DPby9yuLQuJkwwwtM7AWyJF8N
rN0qevaNgAm8AtpdNBrrrqGZgVSO81Fz9FMLU4v2R2tY3JjSpGpec00WBw1gwjqTTnB2qqxV6460
piTVZDeZP+e2eUMDhHlXx6W1iyu2UYmY9PnNNHg5JJEsOn7G7oFX3ttbXqjz9SVmkc0wt4dKL+hW
bnXy01Pc/SRQ1SU7IzHEsTcN50AMhai2cuHkh0Srq3Xa5C6tayUVchDJbHpeizrRsmtPqZpziZwZ
ha78YI91mHonV86knOmERlsq3IDSj4rLPrbqgLxyZ8cRibkYQIHP7jvgxKYnfPMt2f23qZv/A4VL
g/gwUt4/Fi73NCH9I3DO71/8u37p/aZzfiNU0oDFB/3v1kbH/m0hXBHewvVo/MX0+FcB0/xN2LZB
y6l0XCGEZNXxu7URbZNJB4Ix5nPb+f6//g1rIx6EPwmYUHMMDx3UwtxIBNQC7PNrjkYAkKwGbqm7
AhORHzvtVKNcYiUhL1+/M1MysuiR9zjUtruTGqF5jpPOd4YkOAgEjg+9mYt92rfYTFhfKHAvO4vs
xUvWpM62nGXFB71L6/e6Q+/y2hqewQBkRAva8Y5zkw4jVXx7RLrmg7N42o1R69yB7se3H+mV9R7Q
5EKBgSWjba/l28lTV3FiZScYaDQiEtY61HN4kJIejAlOxpZc6Q10mHpfeaF6kjB+PlJN4rCOoinY
NVqgtmZh4IXIkmz8CNFLX3h2qSOpbyIScux2c1tGe7aI2PfoANi1Y638UGRX3hS7Nybmr80kknJf
RhAM60nJ1VDDLo9VO18GEMsbL8HWQE5AMshkTBOE+OLqRw8K+TOGB3fV6Zp5rF31MLe691PMLVFT
p7YWQQ6Hp5AlSS4m3bZaZQQmnQ0tTsyFi99+507TyNEi0ieobfrRdMfuWKTiHS5ifxWkcXwG+9lu
0fXoTwPfdzCnlmcWxGSUndSJ3yIMlj9BsLqnGhrJOXTb4I1WPFpSxtbWvuiI767yye2fSuwEV/zC
+TltbIVBXaxDW7eu6RJt8ZC78FimMss2YJO/RistfCkjVO+s7/NjnS779Mx8H/IhXwQod2GiIOvx
hrd4obTi3spFss2AYfiRq/Qn+uJYI8qsxtBAB0WlUuPKjKJ2j7Whht7k8aOHgoEr7FASerungwCO
8snWgke3mQffjo38gc0+Wm2L8tvBAXkepyrdK+GW695y8ps4yxKwoW5EOVTfQQwUFFE4QYsI7FCu
wCG+ye3oU/CSBCz8K/vagCIAUMIFtBToZwTB/DyUs/dhV1b4Y2TyAhBl5o9wMLOjC+HmYShg9xKM
9uqz24P8Hypd3LY1hIG15mmWL0urWZAUqvporfbGsxpoGSqsgGck4nomn0h7lRyvI4Q8niuCd20M
9fNH5nii9kd21pz8vGZeYui+1hTqZYb7f9Ig/NypvIJKEVfuFnRFszLH5KO22oXv0uyqyXEe02oE
1pMjcDRaeGJiXOA4xD2goRY/DHfyrkEnzBCtNVK5ejAY0SJNhtddqYcXczYsvwOuEvEpYyaFIgwK
tzUJqlBlROfRBM7Nwc7y7s7AVdZ0P9Z7DZll2+DoJdCTwm4t31tjPLppkKw1ffCF3qGtlsNV3pvV
3q2xTJF5f4iY8UOjEIeqWIyaIpKa/8tZ/Z/YDpxlOfTHvQ2ra9ZA7FsdIg66/qdjb9I6ixa8kNYy
O7z3Mhrs89S819zxBXdQ8k3xWdtOWJ+dBm1ujfcbW2Y/VrwkTUUxlsZcYKALRUjylAzhqRJLhUWS
9Z+pqUIon+N0cBhirTE71ObMg1uo5sVtu20ZoWbj4D6KTLiUyMfvdT2WZLON/EIJaXNgK1372Kvw
YRrwDUWd5xaCeF9v0iY1l4yxKWkk1DvCeaSdgwG6dC/7eIc8l1/AB3kvWG6Kl6knkQSWongT+G+v
7XCqr7OwibbRYORc1wbnCftXcJAkmi5THvd3/E9n28wqfkoMMzqOPRV4nte5mzmnLWqgj31XysE8
C3eY0JrcDked1QXbEEHufsIe0q+GOUSAbSMkcDoltilh4B1eHLlNedJsSI+qjoOYqFnTBs1jB23O
D02vekzMBIJPVlhfEjq5H3dpelJgbwEB2cmpYvhirGyF/ah1trjxZle7N9sBcS3wQg5YVy8/GfnG
RyrM5KPtlMUlCurm4qZEi3TuAnvTsKJzUOvNXvQW+BrX7/oIUalErK7dduyIKxnjrRiGgYx9nl73
AzADihdp8SOiWfAboXyKkHlzrwQWLC5JOGxLQ7xZlRk8lDBSvHWQ/Yi6ZMClM9sEqGl2y18okhuu
UGm789x0EbfSdjwVmM/OucvOz5VZfHZsZO9VA6N/21CEumiCbrTWm75iGB2Cm1YbqlvJrabe4b2b
9jYikm9bZrFpuDltwGOmF0Tl8kqOc+dH9IKu8tCsyPI63i1FbuKQ1eS3B+fAnWaNVfNmEhg5F/UF
og9O7ulqbCX8c9fBEcZZuabK7tIuH9xQ8hEOlg+zGRrRbT5r2pe7fMyBvho41bEiDY3AcUvTYtFm
9m7+Ph3U90lhLYeGWo6PZjlIXBBJ3EFiMW+6jqXAWiyHzrQcPwQ8ox3cn/FYDCUHTyXq6akIencr
holjzSjru56avdOsG+rFHqTul/hV/VRrxDb/Ph2T5aB0liMTCbzDc7wcpIzIsbZ3WLnG6+77HNZZ
XbAp0aaOZlijdh4mvbRvKNe1An9cDve4ieg4cYm327sWUNdR66tq2y4PC9Uks598P0YKMqtvQ5XY
nJe8p00O65gAeZb3+qrq6PQp6Y4h90k/nE82j+ca4Qh+sZOGYxZvab818hoJem75FTnfj85peYqC
mvqal+eq+/2EZQ2WrAvl2ETaefjqzFCBF9XsNCDn0SvrujCr1HjKM4NuTk8bDwGoT3ow83xX8fyH
VpMnh0QpgSqIMOUbvWeti7EEfe5laXplI40dzK4kGkIk4WdUSvSC1nbvqJrgFtlwZ4P13nifNSyd
y5gN9nufqf4St1P8g0au7h5k+9j6XHmcQxdGcJGDRqNyQLfiG+CQg8vVNzKvpWZSr6lRnMFgg1Yx
4AhbDLjCvrDrjqgpqPLrjoQf9WqD07yNTf+ky6qCdaVNES3iur3NA9fYQY2KHpyQH5wIoDg0Gtsp
BHHZE91wEZAqiH8bM7W0iz2X5sGRo3WfJ6W8oCja69iJeX/kNMdXNNPRk6A32cHUyMb7eYwxixZx
l4JNowIc7CEeXhGppMGtH7jlk1Z5G71ZvbPZqHiNZ1xPTGUhi/sBy+dKytCBaGLwMk5ODHSOvvoI
KVjC85MVTNbG1SDu9MM+T8bxmDhcOxc/IHabWoa3cajpz8bIwp2r5AN6FZ3UpZbtEM7iI+VjLUIg
yORbFrLpS2LKgNos3TahhuTdW0ir1UulunajO+QS2dIGO/7Im84yfMN3BCwPN8BJEBIOF4IGODbq
mm41iK3E+mgLJCbAKISsK61LzI9Bz2gB0JxynZKePiI2nzpBwnFF+yA2cwhfml8hpm/dGL7d4jd6
KtvUOrIbV1e2iWSKBqQ21JvBcaAh9eCIKOUHKNimuEytm4ZBGOlBHoFQf1EH/DZRIrvjAcbSxQvK
4uA0tsunfVj6+5I6vItyc9px8jBdBqn+CPGMOpMyfzSsSjxZtUF1r8qqn4NtJz9ByjefKZ9338P7
uu+7+aXwdETkDAxkktjyYFvllZDDTYKtg8mXMgE1jnKTksyiXCZjGbHRe3qd1goXh35qKqs6uJQK
r/UgtY9onOZ+7qpkYzT29BxrvE91Ok5P4wB8gjbG4B3Ry9qFxPwHbvLLbDsXI9PiEuwcI+tDqSiA
GFlrW2lMAsErj0/VRADjpAqtvJNaLx4ihvhxHZdj99nTpge+Im3dc1EXnDZ9aCb38FJku5rxD66S
PM23DhaDHdgWm/mwItuhBbaMfQhekr+1j1+zuLdWgVM1RxEX9Iy7hKHHPlvK01xKN8mkr11+0Amd
lWpfi5n8JpVttC8aZ94MkKN2VTCP3B5Mc4UXdTqMHml5EHXg+vTMecqhcBLupabrKveKaWuzA9ya
hnJeojo2kKBj4C+ulpKhBlcEh3/SoWsXEftNjAKHBLnNo5tmdvSvBfsE1iwwXrtec268OuDxWD20
qUN5rYD+eydCwPO7IaZoKzFnPgaR+5h3BZOl4tkOedhAPGmGHTXq7YoupHGnK5n48Zjpj1041vTc
QI/266ZvOJKIVoeWqG4rJ8jFmkcJ7++MvM4Dd/T5QeL1RZfRqQXGXoq/IyJoXvIzX2haElcJ99aV
FoTyimpd7AhD3Enf6hq32HmOp93bPKovplEMX1b6FrQziGZQnysRzpG8wT1u7VHiGIu04ipnOWLp
tfSbNiPzX2TJTsYKjXuk5tIeW42dyMeE1SjZQu3qls1ERnTbcwyMB8GZuPZ8zUB46gTBIl09uelL
Od9NUbgWVgcSpRDJV2KH12maF7jxK/3WsYP6mffXQj+ZupthdsJTFhXVk973Qwgij6v4WuM5u/P4
RD/Pdjv8YKNuPgeo9j9lItk16q11aDU9OfIkiM4yCyB4RslCYs/Yn2stQ0USHjo4KytCOay7SeXc
xkkl71hBTC82O5GV5ob5oZktoocJPgunIPO0p6OZ1GDVOeOT4shbVwUOnsX8HO1Dy84PWTzRumgk
mKToBbwXbI93rCfn3URn1haPbLK3lgoo8kYzLJRg2vSxMe6ZIXV2cCWV2EQ89OBiA7E6WLUat2FG
E1sqjOgHoWUa4gUlCOyUwBFZjbcPs4zyPNYgOMID4ih8D/Sehvm86asuear7iRrtbgypz4zzuxA/
P/V6NIhvQUOMK5fIzc4w0h+wBqsj5m61S4OKgQyS5BZXFxdfnG4PdKm0m1lV5THhzIA/OpF9t1lq
CZi52oAfqE35BKaUI/Ppb4Z+SbexxQU1s+68nK/ou5yat4BKFIpX2jV6sfNeYYbaRyknREDczW87
Ugvkpii0F2BLuwI/j+GmCaH0ktNsGOphHaa2P6k0OAkjCK4Ko2BfGr3ZqBNJyq4Z65gRBacmD6DO
paO5UfS7dLlrwUvGCJxB8zkicxU+48Mdl9MFPjfw2gLNX7HOyK/g3tD0PfSOz2V53sSjTWWXiB0u
qG6anSK8obwEgXEYmtIg+NlTBSLa4isKaLKQA/5Q15zY8GiBUa3MgFRIAY3+Q2Rl+kxxd5Ph7BDB
naX13lXBoH3hrkKzVYwPXJ8k8ootW/Mxwd0EQCCunnMJ3UdUWXkiuZNw/6sAuA66u9fNONtZfVOf
C7No9+w01tVYsLSkTHMF72Lezk5i7PiEmT9wKOWXTksI1fVOs4lzBIDIo2FDRyfvkvRUCvs4tvvJ
5fVE+31uIWkldeTeiYKKrWRwkkfCFtahTrPsTNsyiQk+ggf8T5fQlMTw/0vU2/9FrlPszd4/dZ0e
X/Nc/cf/ec2r//sfp9c2Ypn9q//096//Xb+VvwEbMi3mAAPjKBLpXw2ojvmbI1n5GI6FiIoPFWn1
r/qt9dvyNZbOc4IyBvY5f9dvxeJnFQa6r8WKDlPhv2NA/fa//iJk/A19bv+Jf4RZLTQUiuMuDxqw
vvTlGfisrHnF3bq/rqyUDi4vIGkEAJw99Uq1VrrRtboG5NtDRwvDeku7lX0tizECCDw6fhapcZ+Z
Zb7RFncIXOEQ8w1r5R7oBOflEJjtqi676ZALpqYMpNvPcZkKHC5zmxYWzb7Mm/rGUCL9GTYByrFT
RjsQc5jeVJaevNDzDrjTeFgv80deRM0R2cFaVt7xK/F3eWL178SsupfxpV0mGXeZadJluumnPluV
3yPPsEw/5fcgxL7NPc8qpFQwWiYlGHEMTUhY4qFbJqluqimTYTVFTh3Pw7kSo7YN3DLYTYxhlH0Q
enfBlJLDo+asXAqN1iB7rV25THGZndI8vUx2ddLDGmqL+VlLidRxzzb3xjIL4pCbHhRuH/3Uhm1g
rr2/TI8q1zEWytymrtHCUiMyRav1EJzsxKnerHQGC9NWGsYFzVgn37PqMrWWSZH+RA+ofoaxp/b6
Mt3iIBmdtW5HxTFepuCZm3u3rrq4eVcEFI+mMqTYMS6mOumx1j4MWk8blUhi7UHTcme8mi0HZX1W
LM5R74hzAqRenu1ac5KUr71qVZyyVbV6b63BxdnEegaPfk74W+IqIpWozKbbtEh5FGSZYhPN0vDn
TFLnuvxJMgcTBodYiTs0y/yrHvgt+KIxq0dCBxz3LqCh8AciGkCknCIqFBvZOugHeg6WxErd8Gbp
YTl4eR1dbMEIZmBEwj9YEYbiZWtoVa9VNF0C4AYrmMuMp/yV4tLwLb4qssiIcVrHpmyqqf52tG5k
7hgo/J0dlpvchuk8pv12m0dG8DVVku+pzT07Y8aMPDRY3ipgbglb3jmyDV49XaXUCAYa/0HzLvpX
bEO18SaPgbU2inOAl9YHtYsrxEXLihF6aLqsjHirZvoKhZjju5gF45epp+I27TTLWbqmZjwIDKAe
7ks3O0nZ1OYROd39LGMI3GuP4Hfwo40WuTBMi7Dbduw9mNktW55rufhVwGW6zZ6bKeNzKupHYUbm
1ipIbUqTz0fUstFVVTt8WDhjWWKD6VX02bgsEFI7YEzoEsvae7HbABdg+bS01c/mm2OEFFp5URfx
9C6i4ar1YA34rRtrn71mzPfsJ715HaehJk8D3hRIgAZ8uQaC7160rGJXvaWz9bBEiJuYCMr4FijZ
lutKGbiTCKMG9w0CzmMFAx4Hb0t+e4PuOV2ZWlN/QbUZbqRtzg+0F2bDrusn3W95xbxd7rpsdfVa
GIjhBB0h+pYKH4GbughPoQQyzGVz4u6umayHcUyYGtuYuuinjcOF94YAU3NWpsxvi9KxinVWuuGL
Ww8tDvZwoPApZlGw1U3Ne58rlK0uqKH4hjYqReXQ4/fDGxIdo45OojWfgIIXyG0FNN/dhIWE8H9Q
U8+HUdz90llb05wz186pI/D1Y87FeKqHmAMXEDqXcEWaCF52NVAbFQRk97uy6oxdRiT9GvXLvZ9w
q5/VkBHFTCu34c/iLVsZ8OyTdRIp4wdM4OFlzEN84gZtDZfQaUs0ln5wbvPRdOh1nyUmuRnnQaNZ
ADIiB3kuMYIj4bpyNevhcIBiFG9DSsIPndaH4QrvKy4CLcnubAc4RYw/A/p+FTWfCAxxdC2cfn4F
omiwWAF2JMA8lDbsynE8R3FCBcUUQL3SXes8u3n/LNow2aKjQwjl/Nv1Xl4up4Mb0SsekKcGcVKw
IzKr69mVOLFmrxafJs2I10jK4yZtJ6RU3Z1xxyq3fQ8wwdPoWIhtD67tOLuz+sSVPW1LHC33DWX1
FKxaNiFTZKEjHVvpq4hZrTCtivAmTCMdPTNr4m1tkzsNG2keMEdbnCOVo3BaG8apz1lHeBoRBLCe
8W6ySprVNL7mEBtheqYXd7wkVCHuOqrKj62EkxiGXf0jGPD/01gp1mExBft0LNu7wW7Y0riB89Am
Xn+JMIDs53zipOdSe3I1ec3esDi0vUYt9dyyM3MS6ZxpTgjf/ktGu38YO/qfuJhnT04a7B8v5s+v
aRu9fgyfn9UfZrq/fN3vM92CB2L48pjf4AaxBvrbTCfY1htLyhCvk+n9GioyjN8cneAQGSSL0BiJ
o7/NdESU5BI4MtGZyS6xoPi3Zrpl9/T3TJFcRkbHcBwdOLRwdSDQf1zJ2+UQRA1cX18O+dHLsZwN
bnYO8+aFXrJhZTm6jyxMWrZRuwAzGBcV/ZHto34u2/7JHJJnVRFnaeZll96rfVd3F6oFuX9JI/ZJ
KcR+XbUUL9jZU+ci3mDMfxooQ/T66UhWl+elog0D0txaDMnNL7+N/2T19ke/wfcP55oQlHTI1cTX
l3jYr34DEg5RByLV8sc88Qk5btPgq2iqC6zr9b/3LzF9G7bksQS3idHdA0/1678Uao1Bsii3/NZg
ignJ2RfaeepK7JHhv9gnLq1Kv/zKWCFakizY8l+mzX+JPwGiJgleTeNwws/Vvzu4rVmFFj87+ghW
jWcAn6CnJ5M9z71aVr7TK/JWktpHNowRxY5Dt+e+v7Ni55k/9VAU+ZVmi9m37eYp1IZTKZ1XEfmW
XUkcCuVbM+bTGjIh0ISiPk9WyFmHXwK0vn5k1dceTGR7LODpSCtJPPhRML3Kfn6u6/jFrB0su6lu
/4uX21h+c39/236/BmQpdVtIrkI2wbg/vt7Y0aJ+4iHql667ixA+jHyEMhB11K2idZZPWG95iFDe
EKEXxgFOrT7/IPb/+c9/79//0B+/EWdJe5Oe1y3husafvpEpItqWhzb1zR2Hq1FDyERDfHLDljIh
I3uH8HbCKMr4m50aNT+U9nRLQsbZQWXOVrknbk3V3C8C82jXOyt0XuckfMknY4s/9O5ffLNLQPDX
b9aBKM8hxLZDdyCdmX96lxYJvcNpN0YbMi5IDmgYjj48WL1+X2vyihn/oaVSOfHkfh7lLq71R8gu
YIcs/Cxc3JqZ3S8hcgfpYT0TZY8kLoSqsVb//Pv8/367fJ+gJASKGB8l7EzLJ+AX3q4d1g79NY4G
Jim7r9wE6EGek2YcxpvBVifaNHG8JCDYLdnhjm3mF/ys91NO9pCJ9J9/M8tr8qfX7Nfv5c/EXdZC
RkYpSuAHJPjHiqJtiNM6spTlit0yAP/zf+77TPrzvycJsJFBNaj9+7NZwKGFw52xYPj/j7oz2Y0b
2db1q2zcOTfIYD+4kySZTEkpWbJll+wJYdkWm2Dfk09/P2bVPbBSPkps4EzOoIAquyR2EStW8zfY
jRSA6/ETdxDERRuFVWF8wupX7B2crv0RJofXFHZ6byXLFfnwN3uhU4fecxfEE642pVs+RYPpxeik
FVn3iLqsvAHggL1k5M7MWdMHtwCZ2Wcu2ex6dPrOOGTYiO9qxGK8dsR4SVQawpTDjeO6NLuhrwWG
gSh4o8TQ/HIYVm7XHXpHXQKUn1bagpAd0RXWg15f799/M6+DuY0qn8VxQBeDs2prg5wtikVX8w4q
BpOo1QhWI95n9d2McrAsbt+/kHi7TWzwzByK9E04f8/bHeYK1AyjpCTQMxuXcfmrRDl8Y1F03rqR
190u+Subp09Gg+P7sHzUF/E1cgqsPrvoG1qiXml2PxGI2ZXq5h9Lc6Bvb+cqD9+/z03z8Gxpvr7P
DXfy2zZRkZwBHt7gOrDCJdGmPROLzFOz4inigIbYNo4+w4OUZn/SIWBc3rZzvTB2aZ5ixDAYpq+I
2hmdEsxzox9IRsdbHGcLPxOTPJgAPMO4sYzr1Wrll2HCHqVu+rtx04s16gGb3B7NFIX+BUuNC1vq
SImOaA74LQPJnQlfWaVJiwCs3hCWRvUX5MTvUbKB9Opp+baYwxdBUu7jtTm+FPWYe3MUwx8dmvim
tKoV96T8y/vv7O0iItthAkJqRUuME+T1K5O9S7qhl64fmxFYI0kQHL1Uxxy1Fvv3L3UmgbAt2FPO
gRW9AHNpngs5zpnaDJ1eYeIiVv16gPIKYEq/qVugxaBiEPtCXNoql9sufolt2rwVXr5o83DATn2F
fOOiWXwUs73X3OXCzW05wusog0SIya5F5JLddJ725dmowa+RkZ8V+fUS721TuVmbzxfewHmmsiFK
EbMUIO3waxT2WabSCgkdzcoRkQRl4cz2fFhM/BEjE9hjmlQ+89uPU1zX3/PG/Az19MHsdBCgEL4o
nQcsHYoaCFRaBnY3I0xsJsdcwXWmjWzjQkLxpzvF4oBDkWVBB/AsuEBaiHJMGSLfgQc6ZykdwAzF
uQQMVoww0c5K7D2W5TcO0Ib3X9ImL/HqS4BeFHT90ITgVKYofL0igUz0axXjeMDQ4ku0cQlcqjy3
8vVSfBwXtL+K5sIltT9dE+FRYaGOzTljnn0Xt1hUw5Ym0L4mChHzBAya1vN1bSBzIlJS+2L4kcjx
c5MY37PU+i5WAXNRee4xQ/USGHl3zly+ZPTQtMr20otCPW8CsIPBleOS4G7oY3bR63cyK43G2K1X
aAkNfprheGBG+yhju6xTglCaXEHksohQsmfAmFwPq/Wtq9p5j0Ly1xbwCEKMxkcxjS8ZcgDFrO5j
VCJ3CO/cg5kNERzhqKqYD9bVDwzbnMAe4v0YK+4VOlDhWhvTdSYRtizAmizzgFiO2f1aCvVxWIyv
Whf73VLuRyTGjBh87ogT5YUvZL8uy4gdm9CNisiDa7J33PP8tkyZ6uL9CSNjtB9FYT7QljjYJeT3
usbYLnf7NujM5LaeY0gMEX9SmSUz7rwL0K/82LfTR6PF+UrFqptGmuHNouWAt3GtKdQnGwiIX7i0
9TSdrk/X95t41+I3U7xvJ0vbAIpHOzYm6Bkwjs2qRGPH+TTq7ldMJW8hYfgyBw6TcRpkSwnTEXjN
Oqw/cbSv/UE0d+2Q+tj+wa8oPuT5fJyz7Chz2r7Mwr+Pfe8ruh5DoKb51lu3lSLDhhokmF2JtV9p
rXQZ6fzOehNUiqrt1AniUV/M/oLX2j6Bdo0GKT7oqsbQr/4xtfGHKn+yEaxM+1/v7883hywGRxZF
uk1pt41mziLDYJVRaTc6+ZhAD/5g2oexOjTgeqp/Ur//aWrD/6Lh2PbOiKe/vfC3Us3lz+/F9/Jf
38uf/7pLf1TP39t/XXU5/9n93lL5r9/0d1PF1f/N2Y1mD7QFKnscf/9/U8Vl5EXyRoXsovKF7hA7
659Bmab/mz9BqmUrK2yVtvB/NVWYu5kGdAlijSnQYbL+o0GZdrZmUGbRsLdQMdRSXdVEGPp1/Oog
Hlg0etswwQVkl5nFMz6XMiDadbskamuoCvlLjwsAwR6HE41yxq2YzDTg+bBR3Bz5ys6PZpQQoin9
MlbLeOG8085C7HaL9JxU18S5C4Ea9+wW9TEyVU3GLSgnEn6FqVMQJyzrJXGPY9N8N/T5zsK9s4tF
h2gxoKLfvvL93wfc76Je/80NkIMJXhVmDds7/C15FVKrHZhaxPZtyqKvMwIeWr5N66Ig2ZqcQwQy
fnD76yFBqhEGU3fhFrZT7reT9/QKqIdR9DHZ385Glvn9DjojFW1e5E3YDvGyA3DyOCTmHb38C/pl
xlly8c+FLC5jIN1Dr+D1haw16vplqZqwrIgdkArdvd3XT1UDt4opT+otVlR5DfgA9Nkm17MjtTwq
s3gwgUEcASIqga7o0fcuM6egnYX6UZcIY2z7IsQ/ooXVVS0hngKMYGpazVIadmCCZ9y1w9gjexyv
JNXiHmoiQ5uIF7k01leq6Cu17RzfSBv69SXjJ3L5JUQ6Gw/A6PM6AehPCloW6GbtkcWZ7+ZOvmj6
iiD+mD+XSuH4+CHTV3d/ofH7UV/tv95fJGd5Ci/uVIXRW4Pha9Amff3i7LVU8zhtgNnokQNkY/ma
RaRoBijqSIiNzR+7O7sZ3QvZ8XlXhwszfSclc1CdO4WR1xcuatfGu9nJQgfl48Dp8+zKhut+EALa
aKx3HeQlxmtVK8ybYmFDl12Ge5dT8kFBTwV5Eu+ZJrh0S9lTzPml70Y2MgrNtIR5FoF9g8GFUJAC
mfj9dyYE9/Z6WUMyQCPKYVVvynVny1od8IZe7AQfOE2UfqOY5k0MNdPTR/cj7OUqkCAyQ8ApxR3i
rXAmgbzI+JpxbbeLCguO6xaAjBlt9aMFonXndIMOhpmHRvkO7DGiCB6y2T/ev++335pWJketSVfb
he/EqfH7buxFqoBB57YnlMBRqCAoUFvIv190a9UuM9meiTGmPpf25x9emNjk/lU6iXTdz7bnIAoU
tt02DyPYPB5EeQfHCyau7z/fVoyff5atsmCAyMMRcF4/H5YiiKo0eR4mi12GdtvIa4bOz+9fxDHe
xnUaw5RcsIPxPnPeuNQXLY5zGR7rlchfIBuDS7I6yKkAsjoGV2xyV8EzNiIHC0ptldfIHrxosbE+
1JhsmOWQcO4srqdt4/miNxXG77F6yDsWucwmgYqNknp66TwqFlMxOul3gjHxVQqs08d1ESN2LYcy
qk8M9iF3B05lhupMfDO1WXhp4yoBbHE8TxNTQ32LW8tg0rI9+HmjcRwYLiB/6Qs4eKoBAUCmE34g
M7Z9CZVrl7i1sReIRsxME3ainkB59tlzsabPZqY/QKOPriPGvjtDz15agelBh/YgU4fyoMwuYusM
VPZ5lb60MerQKG2DLtURP0ArhwWnsb7LuBPeWOfP1sgaNGT8mYICUF3uPjLgYAX2kvvWH8rUVQ5T
MuJXIPonrWS3Q+fAABsrnb/q2UQZXAEciqWg8KTBxXI3M74zRiUsCxvx9yl97tCZ8ZFAY6QHbN9L
hfmtbDdLPfTXPtJoIXlIVw7i1UJtPs9etISHHmP0SYqC+437/iNF9i9LcnpOOnMbxAY8JJ3AVjOX
DyQHiJ8BH/GKVnmy1brDCxgWBbZVjs9MKvIGo0sg8K1liCrCM+lvuTMbK4WDxAmcY+cEA7M4mnn9
KdPcx2aTumqGtvdl5MAuQdeSgwVFn1zn05Rdi7syijtFPXwgwQgju3xu1a696gZ6RIpNceLOfM1i
IVi2TWZ5Tm7tmyZ/QZFa7KxmvGn68WYt5AuiNG44o1kDUpYH7aYCAXD9NtJZgejYO9C57DuJsrSn
NZwBUjekL4YGHEnNOkcJSgmWivxKalxqGeWLEgNPsfiyaPm+mFq1IWwb88soAeJAkMGIwgCoSP/p
pUK6Cy460ZppBsZkSXWcbXRHE8lJjavaM6Cl/MMAz9WzRsX51CG+tWbJM2Zh1QHjSVAujGPVPucZ
SU+PVoalxenDkBncdRbYFkTumExsa3eZWDYqDha7LoJOWCfpsxORM5qx/qA7uRv2S/7sqIARJStc
69kap4Xbrtx3VM57ezZKMPeIDSCrDQl1gd+vyr+3QMEKY3jx0PVt55sjyaeBXvRtiYogKvFbtrGB
7KsClwYnYQXpGp8fn3p3V8Oj2QmU+4/IaSsBVp+pVzssWnQ3nk83zu2SxQzlus9o9IVIm7Y3why6
vxAkc/dDrxKv65mtZif1beW6TQBqQHg24iQBiIUrzaK2BkWqIINAazmbRxy6GFxl8PX2c4+4cUEA
U7otYNkmP8NzsHRpHm0fuFDNB5E3TxX6Rjtrzl4ai7tGXOT5FC4GW770QPxxmiMSlBlCv1kHer3P
OUFAHme7Vuu73TDxEikGyIdW8imyZBurZu1AwyY7AtzAdR1MAGQYjB+ttX4yRXU8nU6uyipWY94A
A7roWljZC9ji6B6iLt2GTnqpRY+67cp6b87CJ57+LHOCiS5Yudg8d7uuSz+jlkXIU/i9I7EWDB0v
BPGU1s6fe/KrLZwtFJ+wwqy7U1AaTMILcPSnDNF1nMOtO1FZ66HJzQfqHdTxNLYKLIBn/CrgUujY
n+YjH/dUTSRbwmJBpQi2Y8eq7LvTEyKt87JtCVTCH7ajADjhQ19zY6dvUAv3LmXYuEOwkcnHdHTi
zNwATCybEl23SDARqLT2Sc0M7Wi22Yus4zxoUfLCX4DFeIp0Drgyz8SXtVpMIioO5jQE3ekDQKE+
mBX2b8bODCZl5acczGly2UXX/fZ1sGVPceqsjmtcqr6ZsQ/nep2vT5EYADiJGOq//pQ6nBlgkPxl
dR7tHOE3BN1LiztxcDOb+VuItjOrfqj3qL2DmUDz5g43bek7JqIHbkdEYA3z67dzRZfcVLclz9Iy
HzRoLUsil1CPNgcXxMm8bYXNK/8n3ewHWkn4b618KtzAdYawBJ68ZlkVyAV5CNOUoe6SUGxfF4HE
J/CI+s5OiPpUQWXYxPzCZqQqOMXffIuOeHOUYSk1nAuxFjg0WdcH2xmHBpK+i9Hw25kDG8he5RFg
FzMX9MO8rNakf0qHgWjnwTC18laJ8uUzxn10j6BJQFwguVJn+XxaK2iaPIM0eSnX+TFSs4UDo8Xj
fORVb6cNHh8cjD1bIGp7eTvbiKNbCpMFYwTnZvS0vUyRDkDAymYPagc5H6tN76aUt8rMlvwcx3O6
dskhrysOvKVv7oiSzU1qJMhTT0jodbALdzNWfT4KNO5eDqi5VRU641nDZK/qpmXCz9VUD2iTxhuf
fIBsjFXoftRgRfROCmDBTkg15vQFHbCnqC37/Uxl9UNx5fpJR+3+Bp0kRK7r/lNWNnFInZOi1q9p
T6g/pzvAMiUZsZ764J0iX9dXFeB9g24PZRKT9C01qMfqiuazfa8NQN2ndRGeMQFCkohkXsEqTD2Z
kCc3a3una4mxt41Zu4ZY+jwoOSxOGw2nUQLWFNPa7eWkrjdry3aqS4L9VuZVNkYhCcYV0NM7fMfM
KTm4StHcpWYu/c3TFzfmvA9Mo1C9bsCXYc5jgxwF38GkkJy8C29sFO2vbCVh60cTScymzA9qVONn
YhtXvds85S4aJy602t0Isvt21DfUF7plYa21GU1cKIkQCPllPb/M0ED2J2uJZLymDWhSmtegxL7F
eTzBdWqTQ9E4kT/NUQL8EPlKewqyePkxwHvbKVpC0MKW1aucUTIC6ukDirQFyF+mUMRVCP5GhQtt
JKBliVTHTQAEPAxbNRhjPJFV616ZMM1pCQAdxId4QUcFxsYPJU5ulam9SWmYswinz5o6XUN4dFAw
YFTgusqv2mLx2RNoRJwjRCAH5TsjHiyjGg0A2mo8xDIToFnUY6vo0i9jQqaaDR36NJpyaFIEXru5
YNdulc8q6wwRVMJSOqQv2ly5+wR+AQ1XIk1VJstnvTea7Quv3pRzAhmlFb1MmYK9k+bkXxD6MTBB
QXEAnj/vpYNlSoujkE37I15dg/DGmGO17D6UFUkw5i/rfpJkTCo1nNxlCoJcpzhuKPKoq5xzMcEB
KEofKGPlhmBv+KmtojddkjtbZ5s6NYlMqWoP+uy0qDWluCoUrNtqW6IUzKExTc/uOGCVVY4P8B6U
IHIBxirlSNDkKNjuc3TUB43uQ9hB6cd+mJ/Fp+d50JJnfIOfVGy6vNFUH7p1BuWpYn4zJd18rWkJ
8BcVeevaju+xgMHERPtGAdns1dFsbzpVtJ8HRX7NONPiHhNwsbjXMC70HegfeZtN3A38DAdZkJ7s
egunK+I4t3LgxBudvt5PpvOop/K5XoojCcZ8vyLnTxao39YteY2iuUcUpCzqRgcWrsAMOMcI1RX0
6QXMF4xtN2/C1rrDlCy5V1ut/noCIJekyYEm7avcYIXVOasBfTtsyRAUuUXxlPdM1/5LpZfI7yjp
9Fg0eFGg9kPiuTWv0nhBwlIm3uIQ1yIgrYFskvlOUXSB04i7BemCjG8cMX0wu37lYckxxTrWYQlU
tsHn9pDHWhipYGo0N3spleQl5rRvW86hrsQhUGeNnE70fqYI29Id3IBr9IzEfAdslyqPnIDiWgQZ
XJUAHLADGpMzs0Q9o9htVQuqqfPORmbRH+L2qcKA3sNgZvoQo2uHJIjKxy77MmSsHV0vdCZ3rprP
MPN6+bEZRrSiVex+YhVZVjshu6OixwCFNdn2VXlMR500ylgcP3ZcHExrLpML1vCc6Cu+XHbys01n
HEUYTdMBAZvgQoxFR5DV5C6MGrBM5be0xcumb/lcRGN5zDn1TqufehNPtCy9plh9oQnBU+XWR2dO
QwsUTYl32qGLOLmyWvm1NapMY20OQ+yOt2bDF1nkdgbGrM8BSyqvI4ciKMT1Q+vCYTZ6t/awhwFN
rWJ3mxLGaEbKoEAT3JNmf60ApiXi1jeLWNfAaLj8kjvkqwYJVqqID0i+AdcwbFhyDHd9nN3cPaud
Iw6tDCxbjIfT2evO7NPEiB7fL/zNP7UXmCKCFxFYFKobbvH39smYjfYYZ4sMlZKik+EVHK2+f2og
ZzBRLSANKZrkKfjK/ZpjmCQwM5tk/cVs/sI55VF1Uo09TKG7pRmDrSoBJhqPcozvVTHj/oyj0UHk
LXbnEwIj9TTeW4UC7t7pSYD7+POpkXmqkZgE/0z7InlB3mZkwG49aBIV8knptaPA3OvaqufiiOAz
Cd24JaU2NVCvE0NaG4kJ+HLkXtvU51SEDajnfBycn6hdtTdl17ieEW9ZYAI12KLm9c3Yia6kpl00
2/5TKwWMlAq/BNCJq591pLI8TYqYnRJGHSUHagXRdTfQkbAESVchzS/pKfDSx/dQ+d2qJJLG9z/r
H5pim/iSDXMHrWP6ua+/qo7ioJkKOYSZjf1XJ9bkgGQxp5DVbI7aWQsEa1Q9LPH0C+2qMxvKTV1+
s6UAlQpOwBD0kl5fmp2tDal0h9DBwBfvPvSpoXhoH9PJKnwkdOtvg5pFKPKsgNrN7L4ai/GTW4tw
0Wft6f3XsHXgzntnTOA0W3dsJsLqWR94EINaJ9UkQ2MLAlvDAN1gUmiENILWNGCzE13fv+Tbnj1i
IQLBFsYTqkbi/frx8cpVKTdxNYNl4wR5szhBE/NvWl49zl0L7TFRJri1LYpx8Vgc3r/6H3YzcwJu
wHX4+oyyXl+94KXqMIr6sMH/15c0dLySguLCEOgPr5UuM6N2czMneDOm4jTFQJtcAhmN1PCGtaf8
yuZvytLddW7+denz9MIVtT89GBhoFi4zbbr7Zw/WlGDDZiAPYZxm3U3U0zBPe6O9IiTQypmcx4Tj
EwVfumfCip+LOV/CcYZxiao6Kglj+nP9DyFBp4XOHJFxO4udJvDZ4gKG2aauWrPHZPatqs3l19/J
r8zI8fK5uWADcoL9vF7MpskyBt4ngDhQmL/+toNAiiEqZRc6qX3XYk3il4pZBmi6pIzrOYC10fpu
5NnnWoVzrNqf25RR95hO+KzKn70zYZZppusF0Ns57pDXgDMJDFmWOlsb0uDr20ImoV5ihMjDwh3p
0+Qkz1ZDqBnUkiMT8Yuhao4JTbK/kFtFoqTiEykJ5KlUqZ60dqYxRR63y2uBsmVVLiQZ+t2ETxUk
oOyH1R3MXp391SAF6W0ww/qDIMcZYngaRTxk0ADjILHp1NhrnHh9yWxpmzpKKGM7oeaZZyD05nX6
VlursELyCOVwNGULXg2trG1sdzrYslVtr97fjWKL9K8/2TZJNsGjWBh9WOfzXFcbZ/CMah0iAIQX
udnEnt3H4y6HnOTVNs5kcP5TWgdox/XjqJ4ek9aqZ+QNymWOTas24qRbs1Ze1+qAx4/KlGjc8maM
G9d9V8TrLS0JsE0nnlFxMZ6dgMjnz+CoQH5002IorZ6dZvQyiPMtySZJaYd3uKP49NSQcbQRXBZm
tUus4ggcpQ20DEkOJU+BgqAA8/6r3DbT+V0AvbNgsuoq6iBnq6zIEEAeAaIjEoYwxMSLEayEtByt
CxcSbyPNxmpwXHSMYMzi9/V6PTMFiRqBU2EYYYqBIgCsHgyG943dly85Wng+av8s3q27jOJ7tcMS
lZsZ3MVD3Q4Hvjp5Bor3nKJXerQL6j1JCcj7lUG11YwlxTv97WOrM5vX0eg/IIChXJjl/emjMcBz
kFaBDgKM8Gw0hculIxB/rsOkKzA7yA3sIMq5hpRP1jkDeQ/0afi51UuLpP00NMnLUjgXItYZZpLI
YAOLYJ4IzN14e0zkYujsWtPqUDWqX7q7NB6vgYvlrfCm5dLVxNu0y4b+bLsor+qaCgLq9YfTKw08
sSVq5pfAkWRdLf42llw7gWIbpo80cEmo154hh3AMuJxr9VTNlbxFpoiugBo/14623GIiuh5GCu+d
NCSVeUFljw7keJvp0wWaydtzlDs2t0GxbRHRz4EErTnbBa47dYg1J/baHVrVCtzeYFCpn2hlq/6o
5heGln9I+LnaxjuA7EvYPt9JOanDVDWiCqOMxmZT6QaF+CyOWWXMh6To6afG8J41OVx1tKdu8Bh7
OPUM6bfjriMqFTMWWggRgyK/R1OTRqiuXdNa0fYN2WyNUBHZJWW3bvZPaFrRTd96IiWqQb5g/Lzv
7S2apSb92m38YoghfZBUVF5R6ckBGQg0aeBPeSlOinkjVsjhDPVqzXJ2qEZjTWdvyTxenqG5TSjh
O6GFRp/kNNuocgPr5tz9sVXCVtpzuVllQhF905V59mpYp/t1ZRm+H5/+GDYs3QDAs9k5gdl4vfoQ
+0XE1iBsxEuf3MuCMSYiGutemAaibfQxOQMpclNXPNM2p5tt8qHLCUPuCaW2oLTa6dpe6BGdYn0h
JkajSwptwOhq0+978fU02jRqzQXzU8BJZ9x9l2R8hPef5G0C6xBfSV5BnKg4sJ3F+zY2GMG2dheW
NocxRr74QNnbljCS8SZuXTxrnLX4asAd9HV7lBfOzHPRQ6KGI8DT6mBewBohH/v6RbrOLN1pLqtQ
zZmiVaKd7zVJv9/J6YRjPGJ8QfSyAHudyKsBKVUfXw66Cgp97HT7N1OWjT+oNorvK8uUs4uJEk4Y
PhI231TEuvEufMJYN/VO8wdaG5pCnw/HzCCB0vZk1ts0wKTJntGUDNVi6/HNWzt3rdOHtpmML2pu
+rXqHtsRjwHTWk3ELIkqRey+8A9Dj1xRfxldloeYOC2htBk3vv+R/pBZAHVFNQDEMeWWaW2n2G8o
qJFZXZkhphc2DClOA4ICYq6P0jODqpRtuPY58lZyvZoRYURcmYwBZxOGBzVWKIxhVnUAONUiHsVp
/ZBv8a2xHpEawIejr7+WTPRRP2cWYavFEr5/92/jHihVMgr2vUqZel4jDb1S478aV6HiGKEWMV/c
QoVcaEeeulF5VFyIem+SZxiPxAGdogyYAwf72apKtC5CLZBKkNZ2vVvq3oaNzHF8msV0p887MBQa
iS8gOQCNDNsYcOw3WVVk2IO2aWVgAmbZZCAuBY/zg/J0c+B1dfbbhhra/v63j2ktTpYpspRhmjTI
r7TcA2pzTAH4Tvn2Vt5//X+43LbFQSrpGsXEm2NH1iY635UMJ3NbtXZxXBQSKqNj7VA7XqqInfMs
2CbGEVFAdAJkA5N8tlaTdmTa2KZJmCSJeXTR0iAWtrY/G+6eUROK75MkI0lLrICwoTQPqTlFB01T
yjsDXfm/JqNw7zM4opY+fIDWPAeN1Vs7Y0JsdGKP+nRXupvcqVGyQhoOekmZooGDVGc0Fkw3177c
dym/PB1ba5tdP6S0w9EbLLV9lXWNr1Q47sBxqw/UMEbiYVk9+QbeGJ6qJ+PVHE17OpJN0MaNAew9
1q/BcihMVOQHHIkMj7JND22h8w4xA8McT8lQB5Hxh5I6eb+OyrjJdDn+kPAXiVCetQ1tp+EO8rCQ
qO2LPMp8GwuP26gaR9qGpqAjiJUPuhYRg19Z6NcAVE1wYNLNfKtoyn1ZG+n1kLXjBNKilHTJIh1u
eeMgm8A9KHUE4135VPfGhzhJBZKNOEM5FjY3Ulm1bwNO2CGGCuaFjaafJ+q2cEjC0BGnLgSG55z1
E924aV0l55QHQeFswqdMr3NQI2WnMtkml0KxWf1QN00JdWYyUJRdjEDU2wespIFNe28xv4D9sbNb
GyW0PPmRiwwJUqCHUOgmi5bSaAT4g2Q+tEoG4WVb7hkiGDjD8LYdfVUel2oyju7267Oq/9An4tG0
QZtMswWSxBwQgWqL8iCyzrnQcDovHoD9saHYweQxBBr1bKkTOTVTb6SD1cMatsmyo0V0YfeeB8/T
JWwQhiYyw1CUz14wVZhJIyB2AAxktV8hFeaNLaRdWa+AQbDm4t0ol6qi86SAixI7YbXRYd/CxlmE
ihUHDbUE3d2mspuA4Vfr1avaMHaTGoABRnqKbnZXVatGOA3K7kJbSzvP7e1NoQicHwk8/VQ6Lq8j
5NIUObyayt7D+VaYy2cdXxs3xSzbLhiZ7lWNAnBItHuk7SBDrEjGz+9HzRMC7vcS9HQPtMgFtQyg
3w0g/nuUZtu0tmgVa4/eMwzTpekOhaG3FOJqt+7aMXWh3Kjdd0yCIoybbOOumkGdlr1wPinSXv0E
qS2vm4xsPxSr86R2glfZdGR3Sb0vZNJ+nJaluzJbm8fpE/vYNIa1aesioBKDSoBHjdjb5Pb3aEjU
iIAq+YXky9yK21fPSAJrIEaiYzxKs+0cTInzg2U0HKH7gV11nHSoMWoda9gUVuP16SFcrK7u1Sm2
j13CXzB4jDxUY1cfuc3MW0nBfJ1ehKcnUXxwkV9GvDhDVgI81xV6Pi8IJXcHZbSAkDnj6qex/oDY
mh7UbTperyti6nljYVdprij5z/bIVLtDIAZKykavDHLUxUH4VNuMvcTquIaA3kbIxtfJvJdt093N
/OS+tkYgFkn8cVFMxbOiKb9f1vrL2mY6QWi4NqeBm0WJfRc3yXiLnFv/pFTlz/eXzLlvgQPbVKMJ
D6bSphUMme/1kqldN0pX6qZ9LFt6J4PSegjoHdN4+gTnP/L0wYCv3UPpS60l8gQdLy8za+cgcVfb
KSndK8l8GdoO2ywrx+QGF0D1e7Nk2PWt7nrDb8GyCt0+JsJGeaCRNOx46VaI18mPFYGqG6o81VNx
uWGg0mHnLpDIL1rReopVfRmQi96Ps/JY0JD25dpeymzOqaa8AY2amx0LaZANfGJs/5baZGm/QIrN
zb02cnjjF6B/EzOa+BxaLIFucDDtq5w+7CcUr3SlUADiNMmNhnfcYTHS2s8SrN4K3BU+p/EG70jZ
dnLtTOSazEzZi6lmYVqx4reA43y1ZY0gn5B5Wupk3oC7brCgQDEviQaWwPg0jfoTlnjoobv2pyhJ
f1LrIF3HfArbRMU+xIA2buMyde578skgyZGCdceccrxMar+YMF6w6A2EBiO/PYNJFvrIJVEY0y/0
cN5kaVstqSEJc1Jne5MULnOaMKNk7Yy5+QLbwLnf9kqLBr8HqWm80Ma135xcmIngYU0WQbsGwc+z
BLkY6FWpQ0+EBU7lwwV3nwCWJTf1WmoeerPzHgnK7C6x+uRGYGawY7rcMLripc9jQwaPD5nHNPGv
0Y2OU2zdRohw7jVQPhi3LYj6+M3Cvh4zIK/8v5iuWnjVuqzLNuP4EBO7mbT9peqa9UFUgPk0hKh+
aVXVHQadPYDnbHnMOhX9W+x19gmQ+M/TmLcfGfhHviaS8aFGZ9UzBDgNaWi0uKy1CWKF0gYwl3vF
RPahhx9zcOVC5Fix6Cis0j62sCtuJ5Ww3NVS7rvtdpiY5lsiPn42F9ZWN3LM4M/kFJ4pbIxS8Qn5
3qCfeCewS0Wes8QlKkI7HhAz4+wkqZS92+Lq2UEO3De8yB1KUlaQ0AsiA2VDrBeygj+sFpcKRz/h
0bdT8nWk6SwrlwWWn8ilAsrJTN5fW5scTpVR+bbJhng/tL29HlNFEOmkWBTq5nmVbskSZPBamfu8
KEhAanYDsDmE87LUOeA411zYDdrbxJKyzURXR6PgZZjnnqUgDvC2RsSxsQfHpAfpAjIUR1zrmBYM
ospVTW5m10iDuLOQ8hjaQ9sRLizZ6AH+Srg+TKjuGpMdeTOVMwbRHFTqyKeGNdwCStD6sG54lNSq
2o9FR7g2y+1wN6OWkyfN782y+r5sYSQuzQjENYvO0vLv4BebAJdgwjtGbiiM69pj5XDYrZZzm4+J
3DNleGkqiLnrZL5gMIBICveuqP28X5xovaGvJQJtmGmsVO1jt7LWNYXIfzpaa0mq1Tpx8gSiTA/c
AsA9bhA6GBF2k4vFQJiwBG+qJFdvpt7o8T7YTtNCAgavyUuQtuOoLTBxhQuJvKwgfrTFsDyXK/FN
jqzztWGJy7bFx2QiZ8fsofY7WTdfUjy19rw3Pchbbqi2bXRpSs56V0FCfV2a+Z+/zVnv6TLgk2Er
VPMVyBDYnFPjzUALdst26maJwHEshabZkvOADpvIB/oZQ2xt7q6SXnVutYYB/pDzn24fOwc054db
fG35TjEZRBm5PWqLgL/BfPdhi1DKHTK5oDn6qOJc4DEVPODuEGldkRnWumBYqk2MJHKvRJHy7nLM
gfLV+mwt9o8CvK6HA7a4YneORzg1Okbj7JrYXJwQV1VSlpQ0+rTdXYvXB9KUKyicAjVucl5S8P4T
V+8p2vkcp931P83o/N+kiUXWvGWT/70m1oefKZpYv3M3//mRv5mbjv1vNKs2Mhc9ow1ewAE2/er6
//t/HO3fFFoQr4hEjDxObfR/mJtC/NskOAHFpu+jAW8jaPxjUaXZ/3aQ/9nQCkQUaor/SA4LbvXr
zNmw0OKCGbmVvHSBIcm/DsApWYBjVFjfoMzbKF4FJhpe9ayot4ndJgENVUaitRaxhc2kCECTRUfN
KvM9+gHNjcwyLYhmtQCOqacu/gl1PACk723cmSH3t6HAPfF21lKUnd0K/TkoHI6GgPPUXmPN1jyt
YD7Zc1V+hYskMEuZtYehAAA2wmM5NE1cfvh/3J1nb+xWmq1/EQ3mcDGYD2TlUkmlHL4Q0pG8mTdz
+vXzUD7TljVtGw0MLm5foNFwOgpVxR3Wu9azYlSa1qfYrfdWjHM7cAEpVn1fTial2bpZ18VedzPz
iCk25EkszWYdUvV7Ghg/VuD0SPFDHhqVjxAzae67g+a90YruBqo6uCfMHPFBdp4aYVTEec1YwH5s
UHsXBiB1H/hhHVCddVwzM9Dpn1n19M4/JG32PMxqfEK2uAtrUKeWyPu9ldj1K/270dHUq+gGI7F9
izk+O6lxom/HXmkoEaCVMJ6KaN9z5cXXqe5bpc42Qhbz2uOlW2siQc2p6hAfejTc1AUoZ8qwT64c
s6Mu2hjGDShm/GZ+R/D2htLjZF9oZbZGL5hexlnaFxQpqvgbVaXI2BxS8JU0MhqHVMYAvRvVQDAl
phJhbGd9OTKNjkufF42JW5ZpWuWX4wARIicXcq+JWT3bE51iHCkzb7/09Da4SBeEvUEYioy93rxK
Jxqq/cCh/mgLode+CmvtSrq5BF5UuT18xxo663FYYq9BilK4ZGTMjoW8FN6ZI4duBHbrmO6mmGAY
NmOTBBC8c4iIoVvFK0JCkBXhtwBtoJbnUniNfhn3SvKi9J2+CZsBCzle1OVX6rMbcjLufUndxtpq
3fEibfL+qtWcjLfS65cy1NG1WmyYdX/rajLiaE+L1iOZA/tBYhHmqDfU2jUhCfuK0UlPt3Udyl1n
ORlymznAcOv66bFVIQtiWkqumziiG0OJBPtqPNE7O/Ar9Zsuo6nQgh0UBoVtxzeR07k7FCx1Z6di
3NC5kGdBmC4h+9KRp0zPWugNt1QcwJ4besiR0YMcYJbKdOovu5bXWGuc5Hl0qu5sSYpXLTOqfLcu
rtpRuzSmSWN0O86MpjIDcVzhJQPxGtRUopzYS4x8m1kW5/NuGqPtUNfx4E+f8mnJ9Wped15Sz4FC
oIushjp80Ez53FKYcZFURnEaaP3eC/bbxE9mB79hk5sXknqJQzE3zLIY34ZXSdMoQNP6sDh2MSVI
3Ha0mHIwNXZIkWXNg5bWUUtVQ+aAQiVNMepmka+0ugR24rjSPlpl2I37wdWbbo+J3Y7Xam+404up
8ibdNvBF4ZcW8p16TWkL3LC2XV5Q3zl5YNOrLtYesU6P4z5KHEuj16znOsTEMFV/0NsReheFrOh1
siYj5q1AnPSHzqE8N1b48oGq9dN9BDxwZXVt/qjpo5kfqLutthj9OZ/MrdUlm7hjmfZZotV07Vhd
9hjH47AlVwnRn8X+oau84UIz2uZSwUB4n9W4ZAKBCMcNMBvVd8cBitaMYXaqdZlusFeFm75NQnqz
p9m4ktrIWacJteeshivh1K21G3mKWGFLsXGTtrwbYl2j8E+dLWrrGP/Kd9G38nrmhvqRKM20Sx0Q
FfUw9utCV/nCWhhrgpqo2VwaOxG+7jC4mW5gOg3OzjaS7ngzNZXTr52mGe0NWd7Z3IvE0FZtUUP+
iBMsqLtQHwHp5B3MrVOR4yrY55CS8zXZiKHzCdnPd0ln6jnhCyoOyWDZZrRqSDHbW90qBE5YzMKn
0ZJEcxwKXkot6gtwGsgJehnK7eTJOVA5VGJJFVdZk2cXKDP0hJkjrhvFFDN5FT6A+dCUB2onZpJN
nj1sp3HMTygWw72FUH7RSg/OKEF/nHs1vw5NADwSROsovVo5XWVga6bQG4cEtbUB1SjO0oxeDDkD
p3z6oVLKPvl9OnlvdKZpuV8m8YBVy4lmzLWVSl7PdhZcM3MmesQB35uTn1JZdtOAPcAlTB9edAxt
I6JLpcOXyw4mi/jKkSTHhpw2uH0yl+Z+KHVzYHovhx1OFp6CRsmPcsri3UAeBVIZdTbIwSyT6hC1
NyRC2k2T1cs9br4xe+wg1MmE3S0hFxNDNAkyFcJZ7cCChpHP3GdO7ddaTGqG1Draj3VnEeo07TIR
u7Sd+2jdVeQtyaeq3O5UmbSBOg3Th9A89d7S2uG29QROOdlP7S2jIO9Y8Qyj2+jmjdZU5iMzyfzI
gm0eGtohfCupcZMM02n2MpM+ZptGQNdKL5B98M3ywPqNls3vSCMM8Dtj6cCmpNEGRBDljRLkvJXC
r6q8njZNPSjF1sxM41cOTkg+JT3P07Uh1Ojeiox++eqqe0yJA4ptbEjjPhkT1jsoYm154O4CNKbO
q/ZKcbqMEpFe9x5LYiE7rUhM2vpMFQqYpWh9COwnpL3djjiv+fCs6WZo0oY3OjaTJL/C7EDmxu2b
7Hnpx7mqE6WdfGCQdh/U/VRwhsDnvFKdrHuu8iK/6vRZWUk8UCBxhdXcNrOpvLrQUsmF4S6J150Q
LDRqvhChM72qArwu+RW/dXUIlyjJzi7VYSRn0zUfTRapxgoosXBpeOE6vZMTfjFgBxjMAxfkWBNE
Kvr6yp41pYF3ng8nZ1TLOaDFxGacamnlu8ZgNqX5o5eHhnFdyaWy+oETJ9sRHnN+dGaP4dsdSZKS
IlCsJmBnmtcl9TpLq48qni1YZReWilSCwDcXvjo1yQnd4N4dYNlArKcxeM0NGEJA3STrBJs85um8
eAckiYo3hPXTXEiSRVXKe953dnc5ptxJIOvnrR9KQkt5lxA4yzBhTJsi7aozaeCZRz5sQTbhgI/I
1FRV9xx3KeqXoKNU4+KjD08TxrwMDoSWiDXDWXFUTFfcd6MdfXRUZfNI91Cf17KTM1flueCjB8ay
Ws1tXVasyl0D+LoxbRgTWOJWoZ7kjFO78KGv0BYrnOzb2m51v1xiZwqc6vU8RXC0vV2qpgyb6yQp
NuYE2JWOI7ulwBzWJHKR9Adq3tdq47AEUh/dPA4xQQlT0IHOvs96kvKpPAiiyXAysvJC9mK4q0KE
pqwNc+bi5vjsVXaWBU2tVm+C9mIsdFFk/BhzGQxhvw5TOT8DqP3o45BQC/ZBYgF6r/nuZC8Jtcm1
SEFJG+NMCAeLi3UEW3uK6E1XSHM80dQ8qo8E5nAWzqNhnREG3f0cE9xbG3VGuZpoSYf4g9fpFQtt
QRRFWMBHZxaIFZC8jr5uN1LwtUuv3NVsF0HLHrAfabe5kV48PITtWPkWxrKBOCCnTCUqjr3uRIpf
tUk07ZQmd7FTFoWR+4XuDXcUlAB3JZgtGQ2m+Rsz2vpJB+tkrfI+VT5qUyHUwrCer03o55oVSAWg
ohplxYdANme1HLwLhEoEAtzu3pmqmPoWzXsxt9spLVjDVFQvNu4CUPVlQmqcA9r07GIK/dEJh6cD
21zlHXnwOBjGRSRfuUw3dxZy8AV4UP2cj1pzzwQpLdcG6WE2O2FP7LNisoI+Vkgd6XLc8ekZIrj4
avdutgTndnKOvSMYMIpbVWJwC2d4cElET0bRrwg9Kng/dfKDWU4Vk9I44gl8hA1heygqP0P3JoKD
VRoDZqFor3SydQfNHsRp0POlLNNdjmDUr3IeyGfE8kw1QngcjGfggE/NxRRCLvarfioVf9ZDeCpR
YeYfLBLJazIMzilz1cSAAVYREkwKlXJXNx6DvtUignmUpaFYhvKhsZP+yMNqBnE8KMhoGKk0murI
bqWmH1ndsGZVpZvGoWODZJIXmrQ1JEYUiHkS9wlJ4nfhkWv168hO38bOSi6Q/UiFOwRbcbg2tfZm
dOg5o0q7Uoy7bFPS6RIMZlGCVxyPdUhcrJrTZO0ZUXZlJHNxlo6dkNJSKLP0mmzpupMJ7TYNQhiL
5KuHt9iXbme9xFhQ38aM4ZxfupM4TR6WyVKXBWTGTNx2uZY+6WGu3saD4P7nsIdcEoUJh60O9qAN
QAy1KTZXS9U3rWoVAWURpMF5LNYjBiqC9ES5KBMOiuJ2MmayoxG/9zVgajeQ5Gf6VYeQfZxEkeUY
NtrsoYlwkI0zh4sV8b45Cuqiid5to+SwSLh/XVlOvi1qYxYbi2YP+tC97mxrYURJ06DceVaf3bJe
VBfC4NfgZAS/s0+Z47YDG+40T/2dPigHmzc05Pr17CSstuiO4raS898MHL9JrOgY7K+cfXG7o+x6
5je/d2lZg5PllKdUbonfllFL74/SVo71ZKQzVIjw7+ZV30bLfMcFfY0RxcP95djfRWTX4K00ynbe
phR8XpfD3F6a0dKhUWjOIQYuu9WWHpYvKs/5t+HiV6DTMq/+MnL8/DUZN+LXBKOPu3dxj3yZEOmx
JufQScftEInsgnNNewaOB8ZQTaK7cq4pZZ4me99Q9vTxf1dl+zH+nx8Sv3EsovY//43oaghhTCSX
YeSfq3Grf8DViKh+FeV+/8M/MfX6L8RN+KdMqrB8fKpvv+lyjvoLvheb+52GsEQQCsXuv3U59Rf+
DVYRG217iTPws/zU5XSq4xk/gxbDPwJUzTD/FUz9Z+Dl66eLUb0BthpTBv1GLCSLbPfl00W0s2Kt
00zM6fGvnWNfOrW1LW3vLglZE1RUt2zC+9QrIZ0eOiwb+9mpBdfPl4g2IJyn4hhG80Pa2VscqxsN
qEVygUUTyoDF1CBbi7A/kWx7qHRjm7ZiU87WNpnrnVoGMgrXZlYetTqwO3djD/xZ0gYZypxZZfvU
Nq7t2rq0bGM7VOa1GWr4nfwlvjKKaDOVHp7H6tZVytt5JDBlG3CrZJDmKo3rb3N2Oy0KCQUf1nLF
5O7jlO6+E/mFVpqXhTk+lAaemLY4k2BZlxP8KCLzCQyWSQ/voO26Kzc07xpb7GoA+nnIrYdoZu43
Vr2bw6Hnup9dt8LZGSUCUmz1L23tkfernxKTl0yoJlwDe0/H4ppgzg+lNVZVmV+YEAS+fPL+yQrx
3c2++C0MHKmMt/gw8alZZpdf3kT43Dq3KpooAN+uGDN9etbEUF1Z03Tl1JjyoigN0tlZK0RDe96Z
v/4Bvk+xka4XkKMN5wnbBnPSb7Mn4EOupI4kXBMUJsEWX7hdvaFZUfPp0rPWaaRfmWFqb2mpOSfV
/NAXsXEB2FfZ09ZGdYb/MRltvZnt2ibRb3CzorZ2Hcr5YsyQaas0pd9JKHsV3SYnY4D9IctX22KY
QNTUmMEJ76wHLPQE+Ok5laG1Cz3jWI3EPSKob2vO3T+mIZz8AcGqU+Pt3DBG4tl7NCr9GFKu5Cbd
saii6iApOTr+6wvpn84i/rBK/ul/9f9gi4dO78ZfrpHn7h2c7UddT18XyJ9/7OfUAqokFe7LfIJJ
ERYQdr+fq6P1CzjpBdz72yq3/Jv/5k1ClTRJ8Xlk6PAZMdL9x+qosabqLqEKA74cJmkWzv/8D15h
8SF/PkjNt7//uvUuQ+GviyM+HwebmsrJnU81Cscfnyur9Ca1KzuGka71HFIv27jcpITonCAbkJKg
2NA16TkXZWH8+OtH6n8cbr5962+PtJ5oTopvCnOFSdOqiJqUeuR5V6bh21Bp7t9Mx7/bpc0FJY2t
AGEAa76p68sh5MsKkoQ9I1qTttc+of9XVID0PDT01ejq6WZqyidGjMmWdxqHUda5a8/pnSAtVWvV
290TVqPKN2fxkOTpeWqdk5WMeHcyC4JB+FhVIYaDqo2JryVHje7Fv1v//smPT/bJdUmVsiPygfo2
3dfrvHHsvjLXVtoSRjcMKuclsw5uIOZy/ZytYOBcv5oZI5y9Lolv8cRd6SNcq0+ChNpVT+mMwJu4
6jNGoYvIMLeopW/C6S2f6sF9yw3S/0xRfMIGiqXXSAxYsGQE0h/z5V5UunqnFKpZUz1c76SSraZe
+M58PUmV1qd43VvRjWklOzENbw3I3nSI1n2XA8fq20DE6TUVcTdlNsG/f5+WujnszS9jPM5bZ6Kk
DXnBOUlANYmvlenec7tur0c2KIlmKZJ3+WXGwngwa83Y6pku7uxUvS7Im3EU5jsbVZ9d0Os1vSY5
gAjpJYizUct9Iskw5lYFtxaIyfWCKImvpprAvZkN1U51Ui4DDqqVpYTewaT97sJ1OWCbXtKchz40
KUZqikNLg9ULDm4HA0Asr1yLG03nLWM6xhEvKLneGv6K/lZa2FZKQFaHXjsOejRcAm4Rka+6IFoS
I5Uby9bnQ9HxLVQbv0qPDVkpnPI9jpP3WEh7P6BXgkephg2OqmuQajUzuugQptkz/VSHyvTuRW9z
yeOtsZqp3mkNf6BMQrTOHCsxt4bqhE61Jp9252S833/98H5HRQLUZBDL6sFfcGvG3/3Hx8kTUqvK
dtLWXZbRrxYDWiLaX7XswoUrSgRdy7iLY328mKNOeYlCaxmEuWBnwrhiMugY9yMshXmZbAxd536M
hTvdGqmabRsrbALba9SbyJDpY1N1HRpcqP76r29ZdzLnf//xh63nc/X8/VT/p/vVH3a1f6OzPysI
n1EO4zqnbFXXuXh9ee//B2X54vX9NY2+bm//9Av8vAp4bHbkodmWLIsA3pcWUusXCJ2UkNoWuh/X
8983O4N9kPooNqGlXYFMwu9XAUP/ZbkXMrjnPgBsnmPZt83trzY7Avh/2O7+0UJqfju9mRl9DVra
ogYNTr7pNK7BflICXaDRIuczaXjFfHSUwt12Rt0c1JZGX6m7Uef3dptcDuWstD4fUIuQQBfPu2Gu
+pUWJVVQTameBWnTQb3A88ZlIim8dW+W0bFHkaWWgtPcrjVE8mJY4XgViih/t+ayvUYW0ZjEgBlD
S0mTKVqNSQgXS+uG8KVyOp6XMMvlxuvBNvi9yVhl4yGGPw5VLzQ/JXeMQW2wRbNpwJflCxE2uiRE
RxChdufBdwAh3lp2Ly7H0rFEkGuJdcQJr12Hrdqe9Z4A092gNDK9FaaHzNkyMR1XnjwZ9GvwdySz
V6rNwMQPe/NKh2WxcqbZunKl0wB9LdyNp0ngEl5VG8kGr176lhcteWAtMsjyNcDzjhhQ7YsC6z+X
nyI7aEq8TK9lWF2N5C1L9Clp3DIDSO/5OcIZEFzRVQFTAlrFTey7YqWbjd0FY5lH9wWbz1FoSpVu
dXg5HFTwJzNxaN3IvMq03jyN7I5rFMs4B+lUxhHdx0InFCJN0hqWJdXHhGaNKSDENjAZY9i2aetq
fDLHJDr1jTurQUrt1ewzKq07fOWq2+68XlkQ+FU0PKvhSEVnPdBhemkUyrzt6YIMQqym91FTFZcM
7gBxp245NZvcDcs3jClRv82yrB02tC4mB6NvFETTsbOxmkrFuDEVfdrKXhP35ey2DykR+SwoRG7e
5brHkYLGzyUeUWTjWsmliH36u/j/Wda88Xj1LwlNKCdPVeRHGLV6Q/W5a1ursVRM6ruKUbPbFQOh
sAvUrADNNVmZPT6klKhbR0W3KxWWfk4TeN6X2jZuFeXQpqX20lAYiveK1A4BeSqoSD0B096lMYnK
rcxjGyiRNuSEAtX5qWcEirF9HCjs8Njx7mgFr06ZFun7IlXQsruwyonjKakkrIIkbZ96LAfYab14
OtgIiC7jiM4iiTfL6r1tmFmvFMWcCqKGQwX/LG2Kc5bGxQtRIBwHMfjkX12PiQCF2o3trUmdUOKJ
autOV9Vih7kohsTSGQUI/XF2KED9RBnWDqZ2lEfX3kyfXanw1vS1F5EudT+7VO3PWtWh0m/Uz65V
sFX0rtafHaxjufSxhiJTfs3w72+cuqv33uygSs59JTcKVE3msAbnI3MpeW0/+16rpfrV+GyBTXoI
h2G/0LRKfTxLNStRNj+7Y9XPHtm2JhiN+Bidwyw198ZSOJt+ds+Sw3Nwgfc6eMLaGFwY3nxJBODP
3lptqbAt+VQ2q8oLs19lFus3tZGh7GZMVVZZWHUrJcHW63Sjvq5xJbEmgRO1Q4PW3JCuQelPAiKY
KKD7djMMzvCza9daanejpYA3/eziHZdaXnA8FPR+dvVCUeBqibSi3BFy4qu4EcW+4rPjV2eh1bft
Uv0L/LP+MX32Ac+mhilfHUrhGzoSvhvKgrCDmkLqIHG3VZWmC/oKjy1MF1xONRkJW6daGBqnM+9N
gG+0N2DtgXvf+x1FMLi1W/PAKIF6irjlQpF6BeEjgJUrq8WkAn5nDn0PS1+QOIK6tCTtbqTZoRrk
RoYzN6yyiideja8ddc7WWulFlI1CNDiquW7RlpGGa90O30bb9bYqMijjr7ZZ0/ggXjiZt2+Tqlrw
FmMwgGLS0xfRSOdazFozMvbMk8PAWXk7KyBwJ+ZVd+MYnqeo1Z41agavrbj2OKQvCcTQtsYDh6Rh
Z5aZoHi3THnd7fjgRpkXoTbF1lamqv5YwcmsaISVIBWxWhibSFWxZhH5K3O/FUn/w0tj9c3qB28X
K41Ypx6JmRNL8IJCMZJVB3MKci20zxYq+ZztJTgt6mvzWN5JMhubLJH22bZH89acpbF37EY5y8Yy
1gNe5skXCQWAlVKKwY9dEB/EkehCYbh7R7lw+BxxwGWgSkJ85Xo05WKQ6hkjZIWaXxb4lQ5GGNnn
Ht2OGwzPbOzjq0tPlmJ0uwj3z2UMGY0ZbZEkV3VWiWllqSQDmP44+zAXwH3DLmlvJz2L77us68+e
IixQIaF21sDsfVQUC25qLwmZqOkT4zFlMLVHvZUtq1Ka7BmIJScS0C0Iv94zwVW7BjJoR0dP5+bJ
npUyWnX0MdNcWeWkzpRxr5d0IoZM4o9Kxi/LBkweLVSKquAVl/bayozusa5U+qDpWMw2CxxoFUPz
vQ31zL1rOQeDbe9KDF/UyEAvToGfRYY+niQNDosXdUC7Mp2ouNPYq7Fn9bCRTP1Xx6mhSE1iSlOm
Lml9N3ZKS53i6DxYlBe7+4nAPBOq0RwerMySHzXHP3Yholj0aMKiD7petu+pOU6/yWL/2y7Vf6PT
MTI2YoiDDvJXyvh7/fpb7ciroHRk99p/ZPHXI/LvX+Xnudj4hdP27zr4FxFoEc+X1k+D06+7KDv/
EIEWHRxT6kLPQCj8LOv8XSFXl2oZNCWylrrKiflfOBZ/F2IWaRMgBJxlfhImTt+mTEnS6iMdVuF6
AFmZcGfGZLTRGh0mu7n98jr9Mx33jwfwZQaAnqVhyl/iULQ0ffteIldKOElNCC5ebuDO3Ux5taN7
blMQJKBf+Rk8c9AOj56xUZz5SuQcyCLjKRO6r8fjceQMbBf67m9+quWy+gcVbPmpCE4gDvEXTCT+
eJllp8PglFfhuoymdZtW+8weoLXqzkYTNZBNZthKHiDdblyQqZ7oV1NogjDmnmu1xE3K67/+gfTP
1/zbT+TqBjKfwdSCQci3nwivaKmAig7XzdxFWz3BO1ZY5g1O5vBqjCIIsJaSXZVZD9R2tGfYGyCN
EIFoO0l7cz9HxYtSFxYnfS07Gp0bHk0z3pdOsSnHrqYgbHhxxh8ZBUw9DU62LE5278fp4I/44qbC
AmcjfA9imoEUTVrBp2E9YMC5qiIrINN8UimR9cpkU5rFKsnMEzXsmy6KD7ZyM+jyZsZxoQNkNStM
lS4CFWWRQwdQW8WiYYfbDg2gsfVdzCZU1U9TruyVCCNE/6YURxuPkW8OxqGc/Ew3d6n30Hf9Y99x
RKgnsCDl6OzNlsqzDoZuz4aGuYGpRt4g87QC294hdpLLzLUCjLuBa03AGMODFQGfNzkIhNnFZJG/
64sDt8/N2BiLgZT5cd5uqsSdNsqQ47x2VgTnyfwMSxL71Ef2hhjH6Ay0iPA9swFHT78xKsm45JGD
wSHJLUxB6V5DFWRP8rW43wgAtokliaIMgcgaXh6+jWeuymq4kbV1zfvpJ4qx61obz8jQrxwLlFBS
r7QKZPGVTm1uMbd+HLsBEERfVb1DafJk9u6assZAiW/TQe6U+nIqnY3tRa89YD3TfKOx/qVpfhTQ
5oSLk0N4Vw0pQG86x3Wxc0GW566zifMxEDi5Lyn7KW/jNnwRTq6cpop3ziHarpTJcMNGLBHv+Gjp
beidw9yUP4RR0YuLfTJfrg0J7aZF9tHgw77WZ4HBw4gdG6LD8tBgluRYFO2dwbx1tE6/t3GcM8sV
3TMCM3wwwxNb/BIebROZKh7yMi2oDzBCPJbFXPlwrjFSh1aX3+Jl6jYaB+FVW88KpP1hcUyXnMpf
LfrLdnSMdoBxuR6fop4RjdEZV1bd2Nf13Ds3rZ5Xm8/n9H97+/v/TkLic79AwP58hzx3RfL69nVH
/PlHfm6H9i+4DJh9LJviUtDDlvRzJmL8gshNuIMC328TY7QgS6NvHCzX9+3QY5DCAHrZKPEs2Kr+
r2yHBEa+bQcIUTZjZwgGIHgY3XxbfIUQqR0XyAZd1ze7Gg7SaxHbJU+SEZ6NTGmOQ6VOq0wx5bHo
3cjHSCL29egmR08lK9nhT35wi8l692qAp5XpKIz7VBOvfcLhMS0iSmhJFuFjDg9mzrldjPOr3Zln
mcQro9Mnignyo6Jk5goh2PEdSQIWNjyWdCw4uAsfdGm+h2ZH9NTKD2lTVls9z+hXxkI9bqqS8Q2l
DjEuY0e7z6wYyldFI+oBE3JxKsHQX+HnyH90Kbo9QUf7bYqxSvH9hismQmRqTUUg19qmeNChLwe1
0uNynGjmA2yZvvCcZbB1+K4UTgiOx/jT3nvV6PdYp8UjN/RhrxQSucjW+lVV5OQyU/macuc5JNqU
YyVyxysYye5WRtYI6LbBpO2nYFbOUTaOOyW1i6MUQ8f5oLHGgD0/8qM20e8n7MMCYeo2Tgxx2UQm
sRVqy7dcQ89Y3/v7lm3zo8piWPn2YF7nBFN8CYPmHLvoCGMty3Vuh/EtMAF97+nTQ+L01TmyYg31
ubJgFYbdsc3D+KKP3OJhIJKDWV2FmdZwdeSjEdRVlbwOVRlfRpHL7lDFNLv7cnD6WwYG+aVTRh8h
rS1E4VMGap1dPdkx2W7kjPIHjV6/TsnkchP3xsdIL3dpZB24eKTruNS0695N1TXB5fScOIP3ZNpj
eaFNpXk08trY0wSbveO97/0mrXHKNQm1Y1NhKJfFXGJYI+pk/SitDkieK/J9M+JbgiowHHLVDC+H
rKh2DAM4KYAVWiBA+qmanA/ouJr+ZCR8Z3Ra7xbbtDxkFjAcigkczgJJV65nMS0ikVIWs8+bkJ+F
LdNLL5rB6CvzdK/PmXbF9bIOhCmrR62Zp8tsgcsLtVcvJh3BVGDKDQBGDatO4w3Cx6Z7p3xYqPSR
LJudGoUGl66+9TPF/pXWYPey7Zx2XemVt7FbghsRhrV9y9nuEuvUvaB+bOWBWN7Q+O1uGIM4dx4u
UAJYefZqRwoduU1M5ZRlKyHWbky1SY3FtJqnaTMXihKMUycDZVIrfOVSXZszYWURTxWxYDnt9Kpz
qNyCpZnPzlUx1tvcKEpiFXN5CnFOrKzEJVMPp2Qay+0M1RExGQNrSG0MyhXnoDcrmrbYQuOjsLjO
lp2aXuMcj7FfN/U2xSpraqm5sbXF0B/GBSWxqvucUlfGvq3CWNdiDgp2UT6bNk2As1hbc3PRFM6P
pC/s80wB6a5UanNDJCVk8Vm+Yl67BvnwIYPPcTM05o2rxTisMw5IzCmnW+HFrW8MHGQx55PPjPN3
w5KXNW1Ba4y5RaB1HOKkXXaPgHNJDMEw29apreK3x9Eup0I7ElhqD7IxzHXXls5HSx3wxpa2ccJI
zcPEJHYd4lW8heLKqzqatB5M3kgWuq8CaVHPzOe4WMPaY9iMdX98FFTV7Q0nidYUeDQbZrnyMDpg
5Jy0b7a9TKZ9Kq1R+BqjwH0zixn6HFYLV4DewmWKhmMIx5/Cib6Gmnd7Sq2I1G7hYeCJYOR7VbZW
Qoc+qKlj8NlZ7lIBb7yV9AtX/NdyusDCqwEpb8eDmsrwEVvoHPQyLS9ab+gPajUWB7D0ZJtpw3gb
rKI9MuxTgZGn6g0POX2/RPNCyJ5LC9KoD8a9HUtHD+jhKddpMaK9hmbkXjawVNx1FLvGJumxhI+h
Ld5HL783hqrCphNvlUzj5AtDhSyDAxCwsJ76QrnumgG+OL95SPi0j4vFMG8Jnx7s5KnmqkRQgrt+
MrXtRkrqzWnwwi+SkPfHfhzRHON1PP8ttlqsIfG2LSz13GBgSlXO2+D9aWkP8fww7e8Sqws6A8Mo
9UjHZEYjI3h5W8z9eLQkezfRaLO9jRQ7XtIr75RBpDs6eLRVuJihivg6MWxzlSbKuJndvg7iRjU3
La3hW9TAcmtYrOBEdWfmI+BqEFP7D6IR1/BR7hO7bJl38AUCLS2npzJh2QCCmifWDmiIGZAACAMV
fbXJwnrbLuiVWQ2nl5gh8I1qZ/2Rrx5kbr8Le/Hcpqz6WXzHSf9Sz8VaKhzF80zkayzCqm9loRKA
NY0odVCTAzBIc+8kdkWOzDAfrdwznhsjoc22ctM9u8SOrHF5iwRcb6eqC2m06fuBTGRUlE8jFQjH
CmH9ysmn8igVp/0g36YAuR6XbRCVi4g+JCouofSvNN5NY8ck+oCL2WoHSrW/DJP82A3JfKnlgkl4
RGUgT0qARNoOzFli0IthwqI6aupBIdLpD0ZzQXAwyJmm+jqaItR+YyszrAzE9/22SoyS9uI8XWlz
u69zbnijW/4Xe2eyKzeSZdtfeag5A+yMzeBN3Ol9d/tuQlxJV+x7Y2P8+louRWVKyigFEqjJe6hJ
IhGRN91JJ83snLP32ridvQhvX/phdMoX1NRYNPAdmO29harqWHsf7mSNXxNXhedmyrzFGArzIGTr
lZthhBETVNUo32e2IZJDdC+o0ULdGBmZ8Qvl4FsPoJzMQEU8+ZDBmaFYVBnE3zFPGohXOhI02AQn
eNExPdqiFYvEVPoTS0+KhCycNgxTSCIz1bjRTTTls4dYrR8BGygjdoDpxNOu8NRcbJxIhXFgxd1D
TZtv6hrv4mmiBw3saU+KfDI4ExxRIr3+yOtpeqgLNyejzAVwY+fs3pZV+Lf4dp8gzdxU5VCsSsZo
tKvXKPbqBd3rF0jEjy0KgIVVZkwohF+tSx8lCduefyrDAuEDniD3JRVdTiaWuYtE9jmNEcdV0RYZ
1kEm7naUOOJHlIgRiN+CwimzqmIVDSwYWDwqisS1oTfbSvQ3StPvMj3+zIb2NLbDl07Ym2YaxbmO
omYd0TBYOilcSEH2FPsup7AwpqHigFl3ZnWqO5uAFNyEgaXs5hyKeJ3jOInJXHE70gXs/oxyb164
FKEGyngYUin0lgeWX++o5q5PIBEjteMIX+4Mg1OnHZ/1KksO2tRpINRGa9sgUbvlFKfuq5RIABvF
3Y1BqpMo0i92xAG2mOz+0PNDL5u8PzlpV+2JQ9OolUW+EJ3ZBXpt+XtyXGQAom7aWkwPSMXU3lPl
1FtF3OER4TdbdNg4K5yF9Ik7ZwqqGYBcN9Ln5fjd7DEqmlsGKNG+CdNDoU3Na5/SFx1C1j9zoJO8
APXBLBSv9F2LjPrik9+zGdPq3csJbxB+WzO3LcLF5F6FjIlado18gazw3gyVCBJT2gt6VBtSLNI9
cxLtWSSF91IWSDmTJtYeS7sNCucqAhEKn2nOrfsgegoPX2I4t+CcouWE/B/nCF6evdNk+VY2uD3h
m23BbDrc1CI6hpFW37gem1RU5QEA9/65jmVzFInXvtLmx4hKFAVGJafRWHiQ/+PbBa4SNi3PThIu
Y1WESwba2hpbJAhRYSNyHfrwsVRxc6tHpkfrpgnvrLa2zk4S1ZAzc3oQZl4+t1FLKnYxYiIWQt2Z
GvrSIZH5l6owyFlJnPKrj2Z/M421vfQaTtAY/Owj5P8Zx7FWFu+JmcRHEhlSsTCwmh4qXSX3UcQp
DxtNkzx1es6WkUMqNfswOhtguDeRVehnw0Wz1DM+XDhx1+3CuTCQ45TRW2nPBhlhrhmMdGO+2E3v
nzWvFk8KKuAC766zcKy+e/W7JrrLcFbdV0S670diD9jyaL1w63F74DICCGLYcFi66+ZKh6JL7fVM
JhMHtq576mPUPRqTy7NL7uDSGRni2p3sDjQi3dUchh8jYCQDzSf9nzJXHN1olq6RUnmvxtTifCSR
626cwcpN0mgOBExAH8kdsWW+Kt4oWZvVDBL0o5ahGfgUgDs49dXFiZLkPBhxshW25EBul+gySV1m
14CJOJUNFg0zucm0scThxsncS3wQu5qBRwL6+dmc20uhxybgXmjqgyuLvTdnjItr099Jmq9HAVjx
KxfakNFTu4fMjZlLIoQIF2Ouvopw/iyLTDH2xA9aj16EaXgyFnxKgo+eyXyRlyHK5+g8ZBknR8M/
mbWCoeoJIlAykTwnWqqCcc5fyWqaCbFJ3VNNOmch5nTNnEctK7MbD/SAwTvK8qMZ6ZZ6hX+opK9W
YRv7Qa2a9CkGh0ggw2REQcw7R0qNQ0eSELOg71vjaHMEWzamWT5GHOBDarnhKaKfSziUfp+qKFzb
4Rpux8bIyEUFwH2bjk7gRiOLi+JIrutrLTLUWYVzs5YRiTKWmi6p3X3i8ZwW6VSk576CQyYUUYeN
bFxqbsfetDM6vkWml/VSWDyoEEnBAaXOpc/j1znWzxHr54qYUmDIjZcABEIYPtSaSXaOCrdeWuAS
tZP2dqjzJIB+0GyHzp+vILNiy06R7o0B01IzFN6lh4C46ZjoLUsRnQbXAlzPaTTaJ1NvjPRAWdpj
wqfMwKjCLsSAZD6bBEdNV8dxk5MMlFd5tKxqDS9NJrbkTmaeR98yGkZCoFMP74s2DfedSMvXIjR5
eazYCD+3dNg0QtLcCUts3EBJJi7ytmgN7W6yRSGLXWsPTMZlrEuOmWI4V0VWnlOZGm/sgO25ZhKG
h67li6cZM3zINRMecs1/6a05fDKN3l41A3XLQiaK+rQoJ7Ur4XRtnMKXG7eOHJAMU7ZX0ul3QlXi
zppse9MPZvuZcDpscU7cJ6/kuklsesWMxazmZRxYPLk1sM0ao9pJvuTWN0eskI5NgmLVSeaprf1C
LT3SOk6Ke4kH4Jy5MK9jo6xAuejtxeI3vTULky9zFV5E5vhR5ynTcYBt+1gfjIsy+G/9FGLytayB
voG4up6xi13YbY1VYZNRxukD6Y3SjlqqZwt4MhFK/DwmFLzRrvwHH51EIujxzCmvLXmd7r2bTxoQ
EHPkwF0VJ73QV+ACYGhEghVriJKtQ+7o3m+hD/myepic7L2tx9OsEm2RjskXUrpJlW7aUzG0eF/x
mNULa3ruKH483mEY6eoEjv6takptn6Rx/H0+8T/d9/x/aOxn0Tz8rQzuPgF6VPzY0fzzT/5UeXt/
+JhY6BZ+c8CA5vyvjqbn/cFI0THxwKB6u/7z/3LAeH/ge4HhaaFvE1dt+D803qb7B1YHSn18X/RI
r5rxf2O+Z/ws8nZI7WJ4LqASU5jpHpScX8ZbVqyXY2maW3uItf3cEpAXVcnJDs16706ju4ibuQ7s
uKsYAUbTY3IN9SbBDZ+9LuPA8DsL4OLgcabtqPCo+O/KAqhEpdXyhPwj/hut9rW/+s/h179+X27M
j1JtoSlHJp4y4NjmIwzAKzGAIejCKWF11Xq9oB+knzCqhn8znvzOnf7dR/8iSqfjWdSckBTJPB0a
qwnxH6gDbz0zUFlBbwTh5eecPwzgN5kpLtNA9IPT+EUAUA9xNUXNVs3Mz6rrDKnyG5q3bXyh1YyS
uebuOdZ0ya0wOoWyV8vErTDPw47bAv26q4d01SJoyFJdsNmgrmC6QR37kiWaAtzVjM1NFResYUAe
7wd2CVAs5LRl+ZSsSE8p9oWvVyegBMmpLefxNe5HTteMXI+JkZsrVbAFtuQ66uVnNcQ6KodoA+1Z
W5RkjgXRaOiP9lhNO3cox01uEY4YTlGyTt3+c9r6nYQ7ZPYvuKB0zK7w3tD8uniEmgSipqjIDU8f
hRNeejXeNmlNePMYjLn2Ynelf5B5WuxV6j93s6ltyBw8tMrWA4VS5JjO0akoCg4vtHICT6U4lvtk
Y411vhg8910W7M+UGAhW/KuCjgBNc1AXHK1i3TUZgiWdjEwttuS+HqaJYGnOWmFOSivYgPXUkgEa
VQ8oN/bhrOhItnWA+BH1C3tm2uxxf4IPJV10jTVgCphqdetkNocNTRSkdyNWaPatLMDzXa24sHjR
JbWE0urob2PURisnGiVTAEMqmkPJLYNOa89bgzKnP4Rg6ha2Z9KVjFH+IJK6JX1DBlNBSkHtEFEJ
AIfWp/aAsxIuSAveAuGKRku0ii9+D1lssKz8SN2G9h+3Gtq1EG6Qo29kEoc7FD8eNp8qXjX07Jbk
FxKN19dJMEzW/EBBtAcYutKuVOkhLnaz1VpBHif5CqlfFUzCgu9WA5voPeytVtarwxjFOm1BmWz0
ofhku+WDzCSKSVNsGvZ4xHIPzCEDVJnE6+TcSzHaYgEXCTq3HJfw9txlCQt7mZOgYeRIgEY/XKD/
EVvBrwn3M9w44glRKL10S3m4nGtqnrxPSdnQvGWYp8j8Gwo+10s3DVUKxDn9oEUQs51xGoMJocyi
qiW+36rO7oGqwAx1XeoT+/7aJST1agJ/oRiTZ316drzJXKiYUkIi21rKlDAhpZkbbWw3wuTUZjvR
XW/Sn6XdQ6M22zWFd5d41MGNmh7klADRIRBSxuehMWpK9Dmg2b+auqc5by5uAzrG1fu7OK69R7PJ
kjURJatS79+zBFyDE7WnNjMDVZQPndauTKKtm7j4rBvlSjIiCHKXcWyDv21JQ/XsKyfeGDPT+LS5
TTjFaq1xmdxon4alSV+60cxFqJS7jkKH8WllVd0nAxsR973U76cO1gfWiDut06N1mIw67/YwfR6w
RUDAapkyI/bwUfRhMde5LIi8iLrAy9pkUPY9BJSmztf0sKJlHvc5CEKrJEE3gQuWkbhd910UtCTY
3XqhSetiyAij1NGF5lCC9hbrIode/RG6lLlk9RsPCP36hxYNEpBbOmFWpOnYfA1am7lLW3osXf1o
QNjY+U3f3jVh0d+MvVVvk8p0F+EIKRghWszMi5IXRbIOWj28YGXct6alVsLJHlSZyn0WgsdxMvup
VzOotdrNmCGjkm5NvDiaWbdns/FQwHr0iqSdZwsTxyNaCTwuPoHaCBY5Aqdaq2/Q1iYrV6cv4yN3
eyk4QbnhzHqHRR9mc7otR7jjJCnOmCbdmdTQ6qsblVtdoovFyEkKIQXTlnSJV4vO/MpOwls3sWir
x6GG1mAaF9kQD6tRS41dATDhTI1298Ow9S9kNj/rWb5toExRTUHqnYGn69ecMEOzyaPMOmMLc/K2
SgpnS3oSCdax+G77+8lO9qN97Bcq979+0i9Hi0xOZQy2y9oOUS+2duh/GHNHupVuVssycz45Jk2L
Sdjgna4rb+1i6/79tVrmv54WyJ/jjCMME2aO+8u01qsQ+pbdTN9ggKAEMMrUcGZ1cLxyl+Z569Ky
aozsXiK632alRkfsupIQsqkzxwibA35z3DVdxZQubW+xLPkBMzNW+cgoUXS7c7jNDD0J0iGPtgnB
c1tzmjrywRWLYKnv20b3tpQyX+nAITTEJQReubjle2gw+vL331/vX/22P17uL0aw1M5zbFvC2AKW
Ce+6drKWitIqoN05L3//UT8Lw77/uN+xie436uL13/9gmTMIFChkNhnbpHe/SheNrBL2GyyWMmhF
/fL7D7Ouj8ovRy9kYVdI4/dPu0rHfvg0LaF2n6rU3EL3v5nRgj9bRdzv0jH6YiRUmI2TyRvQ4/He
k+a8ldoEvI4gi4XnRPLkp/025ZcMOl5D4t+mddr1ck+HHm7QhAUtSfgJM3EN45WpCExVlTfwBcBQ
kd6FdhKtpkknbdFZ2nG6Hkqa6/HE5pzy++v8WQH37aZy4oePgovZ40qvj/MPl0kskKNr7CNbp8GT
kTmocgrLzDi6OdoNCD7gO32TZ3/zU/7Vi/rTx/5ypkb5yuJW0bnVbHFF3IkvbmawM7dhhphe1/al
IgiYqeQNYJRq5Y5wqn5/4X/5FViUfCQfkB6YF/185bkO5rUuEmNrJTlmAbbERHQnz4cCHkpBsVw7
F8ZynDct541V/0+1zn+7WP3F4+z/+Pm/vDn96KMyKCN7K/P+zeqS6SzL0NoXjcODrUV/45C7Vgq/
PM5cqU7wB6wFSAa/XG08guuTYIC3wurSozGirUu6UK5+f1P/YjX46VN+uabOQnSB4tfeFpLCf+QC
6U/YK0lH+m9+vr/6pOuloDgVVKvOr4tB7fclqVn6FQwwLkbPeM6BPbPP/M0V/eVj8uMH/bIOUH/0
EnupzW7CaDkZ5SUFZbHxETGC+uyt+ywiN3dBaHN8aa4HZbOW9d+w0P+iZLZ13cUlTO4hwthvPIIf
3tIwnsbGJX1s27tpvZ2ZwjzUpm3sIBNa29qaHqvaz4JoYOacDEgQmwj1otvk+gIB3bsGDAl1oMaK
yemiPCAufHawY9wYifmEBKH6m4IZIsavDxsEJviZHk0JvjEk258WFQhBGT6zlq8W4fFX3yxYIACq
OUffo82nyXemFeoDIJNgSqMRQClFKMRmsGGBEGW+GgqW03YodxxTw1XKwKEggIIwZSbRFBFfa9xy
O70pOMIxETbQzCwSJmnQDzx6VloiV/Vccbaqw4Zu5IeZEMKsxoacTYewn67rvh9x/qdbUP/fSe+Q
fTu8mv+99O7hvUjy/3N+/9L/1Kz6/md/NqsQlhPh4nqmj4mFmGbWpj/ld84f6OhMJNDX7paPJv0f
7SrD+oOYMV9H6gRLmUWAjetPOTodLvdqSndsGyYdQwrn32lXXZ/Vfy6cV9CRRSeN/yDjhe75r2my
bWN5vTM57Yoh1Q2QjAGwW/NGzkq0bJHCYhXc29008yhnf9d4+vk1AocruAidFpkvkOMhr//5NcrC
ziwydLarNuT8qM01qJYhyf/mBABE4pdL9FhbHBhc3HnyaLidP3/ORH55Orowho1cm7ehxJavyRhX
IuXB4ip5Wsw0oo9JN8SbvtaTo6wM/XOpfNx19QQ7OpZ2hx4Aot95EPTVp3kSh7KdoYCJxNo3BNOz
q3f+yUo65mutgokbwrBT21DHw0J9dMvxV2Sn+grBA/n6YMWQO13GI+fBnaua1tdoXOyKSV3QO90p
griHEZA+QCUgXOfwtCQDvc46uzZpS0yu8QTVhTXftioyj6bXaQ8ucFTUhZV/GS1Aoy7GOJiiOnFc
mqYwrgEzaNwQwk46zYs4d/oNEgBx8LOBzD4W2t1s2/ZVsqdpyeLKuMu2ttsQqYrvhkA+LelRGTai
sg5NqDX1xnatkHBobEYIgJwM+I7y3pBpQdHLzNq8A6VxdaUyeGAepXHXOvp8aki7o0QytB0zqvJb
9IzDRxEq/bW0O8LidaGVivSLkj9lxDC+jFEUZwvNG4v70uqe+0YTqyFEnuib8uCV9sEvy3obpbD0
h9ZLNmCD35xe9096b0848XoAfnnf9QAjsrRPDk5qTRK+wDSde/CR/FhZdhhAt21ygG4b04uoW9PG
q44l09Ad8shiaw3x+BBZVbrxwxHzfduTA9x5RP71/NydkenvWCz1FcKxjmwet5g2uDAvBR3EI76w
azRqW58sLaNl59JVg1pA6LLWeVtDIka4droxkMreOKpkjEnlFAXM4XQMa4RrjPvzFvcjTSZcCS64
QXSEZJTY5PA4su+encjwnq9sj1ONwamdInHwjAaR5/U5B46dLxtIUZiMYQkNMLehT/Qy4OzSrSx9
6gK6MJzqSeWhSKOyeXCRFvoLIdrs3ouAHAcD8l0DsydZfHGQVY3RIyBNxrfU6y1jXQOcgo9E+HQT
ZN2Q8LYYo8jW9jxDP7JG0x7W9Cfms1e61qfSDuWdbpVwxF045Bt1xRCMJHl8zBFqGHfs/EcpO5Mj
4pVjkF6JBkmPOddCEWcEUzU1Loi0zEc3Mg1VS+CcICzO0DQ0A/41tGjEmBctJuJNmVRl0fipJtgF
YznjvGPaGq3xBmpQbWZXqCXrEmp9f3bST93U5jdjQZJ4E/X5Q5eYYgtredeVidh6+fh1JkMRsd80
rrPSsr5GMBC/JIC+tyoSyanJ+ng3t5zijZAAF26nNSCajOuDLsgUDfrJkI/OaPqf09AKd9q3LBaR
a8sSzBpwwa4QADmbtAkSJHen2YBgD1mxfcYpxNizHw0kIbN4J5u6XPdjlXw1HcNYMSwv70rSNBnH
+8Y72dTOjdHP/SYkU3mhJq97DFMyK/Oh049yioqXOBXNU5Va1iN8OHsXd6O/qGslw0BkQzYu+z4b
N3XXwdLP8EB3ZMImRvsZg2sZHWKLEIhFkeae/WgikxhXgr98aeeQbFsVfw1DWARbG8bNvDJoUc9b
2H0zSdtJqlaAPMmUiy218MVceDj7Wyagkd6UmD8nUgQ7BpktbtEheedJm9SiDGPFguT6CYHACasx
Tkam5zFyQdyqNSTMwLrim3uXuNGjrFWxny1ldOvGzoyIGazp7UIm+29CE/5Njy1h1+hu+NxZZkuw
kTaMWpCWVA4rZHS8NtAvw/fYUSRBhYgQDxAxx6c+LUlBD6Gah0FDB+vWQP3QLQ1yCldhlEzvZTrV
Z4ngz9zHhQeMQFOvCvwvLciIG1MOuXZf0mP7QA2KE4Nj22p0zaFf6X1PtwbtqkQPyznwhYcfySni
PIa6o8rIC6TPBpylFw30zGYcHKR0biO7ZQ89JsOzUxuvUz1YwSDjzLjSOjFoO30jX7USKerKzWr7
ubBr/aVJIjLrm9n8nPTSXFr27Ae+nNu1nkfdhZg+/0tnzdUZ2aWfoheUeoleeA7nZT5fwdbRhCyd
/1lyYGQ/VySduNYD6k841aPNS7+obNlsmSTwBcgiyK4SvXlE+0CuFEr+LOUkmxFxgrAZwLa+iBmu
5nhrVQlAF7NLsYTyNE8YvuiOb5ADexQa130HD1n1xNYTRoFKmYwsq2moH7NEzoeMgfWanwzpb+rJ
tc1c5oiYjQ0v8hmm6Y0r96SoQY3JY0uThB0X5U2D/2ZJCqd+ZHrvInlU4oak0jhmQuxal5RR9xkF
MbLqxiyPhWpHVlMyEQq6q5uYZPEWQbKTlkuGf3ho/NqK7zTDN5wA6Ex3zUQY9euLjjZulq25iggN
/5Kqgue2VwnZjDDbu6+t0r3LDDyoQllJDhfdY85bxEzEL0y5CWXUK3mLe39jSWe6iUfDv5uzMXoy
pEgXlancZdjq4GvrmK4wBHqxjF2/vQbExZfOJX+A26nZjwRjDJ8HlWS8M0nrQmiNFDGYsXO1aemW
vrBs0Z68OcbdWhI5M7Ah9023sfWq5gQBWGCY0vE8zDV/HNtNdjaxzt7kSW6d7cnAwzYiGr6bpNQX
ypb6IQ4V8psCDio0cWi5AziFGWWN76wTPSoJwbA+24MmgtFpL5mK9EWhwhoNZc3n8YfOeggLd49y
tdpA/zaXRV3Ha8CjI0S2tPRuCOBlwu90hlUEGRwvOvJOXR0q9Bcv7HIoLSoeKs5BHIS+FkM8n2FN
TfmOaJn5zjFTx8IBBRp7MQ58IWhHBSodkx463YK+/aCdTTSa7SXyc+/FgLwLOZDXMbR1vUX6ph9h
KQzmovHyhNlP4SrB0iqQTvoIwsfd1bbC/zVWDUDKRV/e27ZqDp2SMxb73O48jnyC/bDuk/5ZIssD
LqLnKzci35ktdMLgjDCDYSRlJ8lKaaM7n+c6c29tGPZPxsyRctkMSXbFLtfAivHzMwvs9OqxYYg2
rQwsXpJb6vs3TVfP50xvh21buvZDCmlpC50mvUD79V4mhKQMnYw+r5jeYHrYhVNio6coHL7JcIWU
LSM/J2y5EUhO/QzB2XqYzQIk75iqe5xBIl5QF5j2slTMT7f6VLXHXvPjbqXoFRzjtKhpYsI4WEap
MQ3X38VmXe3iNl/iUWIRQ9koumPbjPl4KQubXKQ20nrcaMUwzJCmNRVeIn3ycDxGV11HTVAdHJmM
MXWQcSAWawEM+n5ow1aj8+hG+iodTHPY+04zeGsDIf3Zq3J/3w8us9W40CdOwHQAF4ays32Nsrfj
tGZ6QE9H89mNdeeZlzod9oaN0qwwYmhKLDoZS3rmPqo6HMoD4hAE7HoyNgwWJl8wPyWQhSNrPdWH
ucyBpYM1n4JQmwEMwAshxXhkKpIsTSqHAequg2eD38Rv97EKw+ecnM0n7HRDArpJ4i4XktI/r8Cw
IvTRPnQjDZm3GHQxdHaVnZpGluLKi9MXa7SJfkkyTT7za9cn25jTfDkXFsNSFvNt2OXmYbYjZC0i
lMcC7SjmjBApMapzfie+BKQXx57O9SDymEBc3ImErXSqD2q/EQ9EhDRwI36oj2++l5a/GWJ8L/t0
UhphDJHgY9sUvT+2ZEuzl32e2HIVwmPYVTL6VCblPaO+F8sv7glaYGOFixlwyHzrkDXf/v7zv1W0
P1a817ITGhO1oE7dKX4N3lPdPJjjbPerIZJXNWQPksPVLM3b2jHq+WU21IXJ6LuMv5RsHCY+siYv
FsaQjy9kW4gd5J/+6NSFvMtwXZyuF7N0UJaQl4GA3jQ5wieZE5XLnh1L3li6U4Xrbxfxv/2YB1V/
/N//eP9SJGWQdLJNPssfGyvfnP5sFz/85P+C0DolwHjefxIP/fPPvrdkfLormGEwBv7Zdfnej/GB
R/K+gz51meN9M/r/Qz5k8xc0mK8NGR4b99pg/rMfYxp/YK2nwcCqTOgolsh/px/zK3vVEyRuIdF3
UBkahkDM9PPrAZ19LgmGGLblAJxWZGW9GUVTbNqUjByaDLskHF7pGE4LEfUfZuiEp0iwMP9wy/7i
LQVwx+f88Jp8+x4mzh/hugSpQgj++XvgE9Yq9I/IDLIOEbVrrG0rWxNw4vTkLR7sZts42JOTc58w
21WiQ54Qhac0noi8aq2HnkqtMxHkP81o2vXyYHFQXiaeFJyuPU4A7qE2WF3GAbeLkLeqx7t1bQSJ
2tEDvX8caeRzAl9NYQl1t7uZsukyZuHeBFuPzpnYpOIZaf9FS4GwpCJ76BOrXXVW9G67WUWmRe8E
8LimeqEjQVmxbnZB76H9BOTy0nX1A8rUdRaqbRpZN0wrroEv9Li4sZ1lyZfYGTPa3rO+pk+zqCbn
OJSFsRa4dJR5qrRq7eBwHLxnLZvvgFnec1zdd9G0NS13X8blkjzyhe4299MkXj1JUaEmHHw2GEY7
Ygmf7MrbWgh7/ao4QxCDyyQ+KhTKnv6GnODRjfh46Z5a0d45obFhprQyJi0YTapj+jPR0vHNpeqz
FY6nTwRHfUkay9n2s2UQYO58Nf053HXCjLHTWcWWCrUJJnc+SGM8aV7fIdqNcw7oVAPKuceis2v1
O7xuS0e3HEwT430zRTc07taw0FPulg/dqFSrxAmkM+5xujwWyL9BxlNzdPdNOX1FXLubOv11hlKm
at1fxGP9Qvt7rURyMBtLrIspCoqwwmHgP/J4LTKx1qEeLgjCBlspB5wdwznSwheq6MPgWHetS29t
cvtHwyIK0UAjX5w7fcDrMJEuSaRZNcFe41xMzDBmuizMA3+Sb6kll6ZNcrE+5S8uj2YTO49JAaYl
1Msv1TWgTMVFUHUpCg1YckUqP+uSIXSoM6FD7yCdcuUa41IM8XNaGA928ey27XxJszF7Hubi0GX2
bTgNw8ZTlNAtmqQdeJ3AHbIDILjAacotRdmL04cfmVad8ADX4rGz0dSiVKXBVuu3hM1VsGvmXR2l
z7ZRjlvAMWS0xTgN3eMwgV52xBrk2cVWt61XQ9Dxlx3aL6otVR1tn6DWHh03STU3kjymVZTKLZnI
FNzI1IOkFNnWi2/A1xEbVSApopuBMkLgrWY5uEkS5ONROD3XMx0x1APhzJkTZhEdYKM9Nb5BElqU
XUPYrJVCQwWU4pPIPUg6N4yVl1Sft5z1EUnba7KcnnQPPBnz1Fbi82F2RdoKUeGQmHg0XCTZZrGz
KogBg6H3xJo456o39rGJ1dOcH5PBFAEG0NfEcQDBJmLlwFhVylr3xXRxzW5jmtOynD33gFpuRbvq
M5MOGtbp9XUyL75Ool4jxYU+wW7K/LcSrkjSiy+QCHcQom+VTi4FBUOx5gy/FaU+HvMGUV3lTh5a
/PQO5ny3nEP9ElnE3JTGTQsrVMd303oN90nXdl6dnNi3xgCMFyFr7bC2FfWg5ogbEtZuyU2i51LW
D8nVtYXRAYR3zICwqz+RshMQsvJUoK10+AeBmWbrHNAVgRVUL3H76GIwCEv52qui3sZGD3XD9Z7m
UdETo+c4+afJlXi0w8VQtA867cXZal5lLt5Maa5xUR91RYSPyp4zReKCrLkOR2PQWq2wLa5mF0KZ
srU73+P2FCSoei6E1d5Olj3+9EVjV2Q9uG26db1xN6KwgGS5mdv6q5WR39Cn71g/YeGpcFdSdJ4I
erkivOqJBDPvwzTdp0mQDMoZf9WMat1YPqwlO+9WhXUNKjGAYMz+u4nsC18RaYu+1JENIHwzU41W
knVESdWteMPOQE6fGxyfKMyalU0RtdSL7j3NXF6MwsCVPr4SeHxTat6DNnpHfZDnGdM83mxXbbo2
O5lVtJsj+4OMVbHAbZEHRtIdZ24rSUmnbBjXuGsxXeCOJCiVyGDAd96SxhK+e6jvWPoPvHo7afRY
QWztpqXBwmIRZRDttRPY6RLzRfIFZzsegvwO4BSwKC267fJ+wxCzXbTUGm62ah0XVbi1q+CjjN1I
eb13yI7LXI8wlStcRIV7R7z2VvYYFh36QBzKqoeeBsKgYhHSOTTKONzUrRPU1Rt5jufCd5+H1thN
uR9IYiPHTm7HoV6HVolseMiXcB52ejKFiyylAnXvm3DEY2FvVXJuKvmsCto1Y771edK93Hjpc3kx
x4F4bx+YmQ+OMMwCdC7bWYuvKdPtgxPK9zbrQ6p/bANO++zRohPQVpwRIIhvbse8R1B2nGZynmAr
LLSyvdVm66QmVi681wuUIlejk3sjpvijVodocFeVq1/iifp8PmMtWaeopVrd+kqsLBnS6BJJHjxw
fgMsn3yl8fgljuyL5ciz5bTbJIseiPmie3aFxrX+i5dO9BK/SuJlG8XSWZTLTrRn0Uy8hNULr8hT
o8Tezd8w+79i5H6LtJSQrPTY6/0F8+nSqgTLSxifCLx/no3/ZO88mitH0iv6X7RHB7xZaPPwvCP5
6Kq4QZDFKmQmvDe/XgdUt3paUrQ0+9lNxBS7iu8BmZ+599z+ocY+5w1sCAIMkCXpVk72lsULf1mz
PwKPTJXO3BfjdAFvl8EdtEIVGPvMajCCd+/MXxmzBpvUmVEyqR+EvH9k1nQS2sUvI7StJrFiBRJO
UV4al7iqFEWjwvMpH9EUWxwKYljbHMvdjHgmC+2227QsKAbrMiv/MJjpnR7In73fb6wUSIJNRo1d
EJM+YuZhBy5YBRTxYo0OiFWxk4c6d0MsUzfSSUOBR0dm7XdxyYE3N8/KTtZWpW1JHLiWyP8MFgMr
q5cvngRFoM3mJhf8Wurem9f54s8fh32RNZ92MJ6ETEj24wOszbONsQOMRoqwcImETk8gPteu577U
Y/2B2DDatDYMJ/KZX5yKqC+42hhqVPbMGMl+GObACLGkIWDVdQqbomCb3uOr1+pjQk+btEx6ctu5
xxb2PVbTDzPqXps+3eFozcDw1S91glJ0INzUqzfkuIQueuJ4pJiZn3rirzoO3gRGhOVkt6oE3hQ1
u8lwNl6vhSYeoMEJwoF+P0A6K6IiDIZfqYAdJB/aKjgOGSCeVhIPecSyuHZTLxxv4yy2RbMVbn5X
RUWzBlqKFFYI7g+5AJhuHVfRegLnqobdDEDaM1/jQb/JTuc88JlSPiUy2bWWs++kfT8n/rasuzOR
tA+9cU+y34YxM/CRN40mf0RStyo6ZzWpj2Fo90wYz7KsSVqqxuMYNAQMVe6vIH8RvJtTER9JrCd6
ghlAQCNRVlvZIkqf4hVkPHcghtFu3yWrKJTF3dqJdEnobbrpNO81aS3YlNVLxSh6rrRDZ54CktUk
0Fgu2mSxzx+rzH00sqfewT452SwNmqQKVhHQMw7r7DnWPRYbPeG07MLOHUp9SstmRtiZswL13eyH
5ggku/FcHFgZ1NSQddB+c4akeCEbsMfXhB++T9vpF3hM/z5Quo+m1+o/+6EggywJ9J3jKHqH2Y36
MOr8kAX6uCmAJP8g4Vc8+FbmnvQqxq7PYZ/hViqTl8IL/E1qZMxSe4tPkh3wW0Y1vGeYB/5WEWa9
acu4OCoiArpQ6Al4BExp+ZjKA87JeO/Vtv6Tv9L/QfL8/KFl6HMyViC7SFfGY4HmBC1y3N75YqqP
eo65XNe8+pF+j/qYwozYkzpvHqossZ5QlI6hFrCom5QYDrrRYGHv7fjQaZMJ6zTmjps1BkmT4YOC
10yCKvo02HVFWV3ygrg47poyHJ1gPoB8bS5mDnQrrbvmGHTeQsXVaL3GmvBCjxnppbUBmubmdCkQ
x1PPTLp6LPzWe9FrffpRAtw/qdaNtjFDxjubIN7vCNqDq7Ly6plGh/fHb+Lsw1fg+bXUcoYVpbG6
s/vWeXICJW6BpU8PrJPKqzEgse1tNd7VRSBIWHzppQPSrK93wdyOt6gw7GeN2Wi/yuVkfifkathi
quIoI8bqoe697jrI2TujzW7foAB4+6zo/BOb6/GDjNf8vkuH9h4DQHOXdoY6ZHJiiOwEHbA4NouC
rKytMeG2iKnrVyzPXUTAJEVakWmQY6WyHcTRcpctDXaeTAijmXyxIU4HkuAt4bySlQz+k+PpTTmp
eQXiZu1t4D4nos4nzhRWVlkq74vxbRSsi1H6hn2bTnemOXGTltnUPzY8mZMh182U7QqEcOuumn84
qdLoeJvOWTNNfIo099nP5ztsyt9dme4xAR5EAb1jRgput3KvueOpkgpWzQDw0nNCTcc5amuQ7yfu
X937NmjVoWcCGxJC+ummXGamercZOk6FCvs42bY5q1IqNy4G2xnRX6IAvPqxre/yqH4dzeLJzO2D
1P1raneg+udQLESDotv1jPv1+sUw2mADQOXbTHofWExJRZm5T73dP0dY88qJwa3GSSRFcp5G7RCD
BPZl3B9Ko4LZgsJyT55nsk5m827ySdc27RQfSL4JKnGp5NBsC0VR3ki56kx729ftNm+YupWbpnvt
BEyAojnhgsAr62/jNP9V5s3z3w87rK+grT+HHb7tIhUHGkuvCX/KQAnz12GHCwFItY477N30lTZf
nuaxG+9wYJsoztPpqLt5dR2LeH7gfBK3AdvHk6EaaKn45QkGdfMe+yP+De/rVUmWt4YAteDqLG+S
WN6pZHm7quU9M77euOXdK+Y4Yf2NpHrZ6ly65R0lRbi8sKyfj6hVmpfo62Um9LaBAZ5oxzjiXZ+W
t95f3n/SG1gZ4jS6ZEET7IZusBZmMngXFSXTOjfq6N60HFLolrPFWE6ZeTlv4oiTR2+jEV7WYD2x
DedcgkKJXE2I9lFXRfOoF00GIsetj6SCtXckwVnbYDnpzMjhzFtOPyLf5g9nORE1Igp+msspWU+t
PIiyYDlWCUi4y2HKjBUigYxJl/06bDtix/ZT4ou3vKTOKPUpuNmM9jcCce5LbwkahmHg+NZBt56q
aRAPdlAYPyLIsJusCkILVl7ofl0CRYfBdVhuhma5I6LltiiWe0PJYPqlL3dJvdwqzHOKF2O5abSv
S4dvszjELjdRtdxJ/nI7Ncs9FXmpOABHJtOSO0wstxkEpmc24SZb5bmZPxkSnnwi5DDNmEYDNSLT
v/lTx6qTtab5OjkeQ60Mstj3ISBaajVZODLKmAFUwrO56dy+YN1FAccGx8RLml89Nu4ArmBboJ0R
DOR58kiHIzzQ1vauJlhV2LUXvduZ0xV7hK4zzU3RGtuGYIB6Lduvv9GCUhV6md943NOax5ayyAVG
l6JIgW0o993H2n3KFIfEzsVYAbGJFC8Os5aF8crDzvth6eVDb5F1ty5RPlZbIFHUJXQLIdob4C59
5gIPbz2mak45bvqqugm6zf2g2d/rnFFOB+F3J2fqypnHdwLdzWUzbgICv5SqntIWQZU2wFxcUAZE
deTk09Kw/6SJedVQ+F6sLgg2TWk/w5OgAtJMa6MTnskJK/yQfOT05g+udvZRU2646GET64l88vBO
rlz0NEeBvkoa6onkdXFSVZDsc48yu8v0Y2wZ7SbvxSi27thT9LRpsu7RP0tDZ1ZiyF9Yi/GyVDOM
EyZmG9OYztjD9NWQ8ceJBxQwrftvTmeQGw7FY5uDbA6Bg5m7iiDOtdEveV6zvfNFAZ0iHzCW6ZWz
ZZjKWEWv3xHKPFAXwnlyx2pF9fFcFuNLYWb544C/8870U7GzwVX4qxhe3BkyqVinSVzs2mmCnaGB
07Bg9mx9DzMNaMxm25u8a4XPXDNqkPdo8eRBuGvehrz3DpORyG/kxr45BjaczCnrXeqx44S0U++i
GT61XUsYXRlsytrAhNmW8AAW9z4rLeaLiPfJxYyDjNKi1Gnn7xEj+DCsqZgmQcsvAIq/FASlboKJ
rjVa+oEm6J/4OcDklkN8loXn9hkfHYy51okwZgY6uUOTvBSR92mUTfaE12nmKeBA0YjdpYv5hSj9
SWSuwZJSsrjGjXYti1KFhKaT2BuITxw/zipVDVd71WRrqgJML5P8mCbz25B+1x11aYFOgdiSRI56
97NRoMhI8l9uM98mo3Aphbt8paVtCkrc98wNTQeIu9rs15bicEQ0mIZ97nNZFXb92KPVfiZAqqF7
NX6MhW5tnEo9e3W6N2oOLg2jBp0xHlIEWeIce9Zp8gYkvRbv11hzSbA6l2sG0tceuA8OPa+o9rLt
iwNEBrGPWRt/U/7SZMYWvLQxIetnbLxqDlXbz2+RTEjVDWwRgmvVQtth6OW1qnxXiGQOseayfR8C
UNpoFe+igr1T30T5vRNp40fE+QNzrvL2CDbat36praqlykJykT4MX5XXUoOZGlIXDXr6Ovqqzjhx
7Wd/KdnqpXjr+MS/Lt5/rbH+f2sshKh/oyyuZdnV2JV+5njZpsPnv//b72ssfuz3NdaS17IIvbCu
L8LiP23wgfEbuyMkr6jv3MUJz7rqDyO8/ZvjLOsqks5sH4fcP2yyoGObgY4w11rId0hz/5lNlu3+
N+GtTznl2giU2Y6ZQLb+RxYkYRQafvIObwF+x44unnG3v8968muNYPzmu1TL/ShSQpUSNHlF+3M0
zVeFmAOxu35DvFXxlg2fLWSpVYINm0GIS7SCBpRmbKv8MSn15uT1MfWTjxxs7onumyv14KLuYVPS
iz21JEdpXF69MjFxEk8I6wrnG4nPFcip6VbQ0mUlXoEpxxsaEx+eB8pezYn2acfW1Uprc+UUSKJF
UTFwYp+05yR2GeFYEX9r3L9J1mPaXJzrVKEVaYcMz60b37PFCAAaOdpGr2i8DUvlgL44Flplz8dS
K92zyAkKXJWeDSdMT6eXKGC2JZP3QdTfEgaL6P3bab5onu1s6H2ixVFbh6JjTKhMu7tlkyI5NrHP
pWsAzE+cbjtHUwH5MYB9XxkSspvXoRhgPWZ0vwygPs0UuxujttCUsLIOg1JsRNUku6lxshC3Xn7x
VAGabmyiD4sR6t6l7DgibivJ961wmQ6Bd0hqozyiHHM/Wnd6q0eyEixKULg2PcqjIOV/5Vb50bmB
doncHrfpQAsm20Gt59SxL3OCusHJip/KaIcdTbB3V+uIuYbYQu2mDJPDt/AZlXo2UY95R4R3VTN1
GM2bT/UFHEmGpK5Xd0wfk29WMX2z/VKEA3fKqllu6wx9F3KlDlcI8eXzcqcnXCoy95O9VwRvwXLv
uyijVjNtm9gOBtzLngKBJGYeAFK893pZi5P00icWEk/eUlf4S4WRxaN8aiLYNeBNqDhxe1/UUpNg
SfcpE6lTZpR7m2GpXVqKGM8CEe0xi750qnrleQ1+jkvNoy/Vz2wiYc2WiqgvG9rB6ElQKrnFiASI
4kktVVS/1FMsbkAtU2Kl+ajvVdvcjKX6SpY6DEkz6Tdd0b7oMRmCjuvf+il4mkd1D6qUZ5b3HTO6
jcKyZ6xEMoce7MaxWZa1llmB2cQrfMgj9kFUanV5byMI2pClSQBEnaR3JMeQwGGz4MJNBhCeZ/Au
bpv+iLFT7uMlrDkV4qmWQbOb8QZ12DwJo0jR0ICdVzcIUP6OqhZni9O8GHEzPmZBxoiKdfveaNFJ
tLb7zHVr7hLZZy+pSmTIV4Vp15mgk9KZjQTBa9F3Zu5LbLxZnWXbxMd5GvCSRT3765Xh1Oa6i+qf
RVnn65iyl2kk/Zeb2eMDg0DoR6OdsATu0E017tFFAHCnYzwgk9UBUBMMgAQMQDJT6Xd3upqzZccM
tGki0aOdKZQHr2A1q9BdljOZTkk7rjs6mqUKKpD1sPDQm4iZtQv6LWmXyBi3ZNRvisXvk6WQ1wHN
uTCptO51agL3uYs7b1/5ExogVKm09mSwOL2udpJQioPyqulUeY58DmTJHLeo0K4JZzZv6Wxo1yCr
Z4q4VL0C633VBV1z4ZIT0uCNLpvxvmx78ycRQ/1NDu6AfLaBOGj1LgaqsZgJONEY+LOZojsafvZW
k915qOyO2OGHPb0T44eoZNzgpcnWmONXn1jdq1b7p0jLTDjDcN/ZRQZ5hp1yQsWI6OlEiJTJmyuJ
O8lI51uXvfBOdpqp+2GOynNktOpOEIoQFnp37lzZ7zJEo68492GdFxmrn2pi7DYRi9NJYoIIHuLj
VLN67gP+GekwzTeigR9GJ4d274MpLKZBHkrVPXAPMakk5mqLNTD+oAua95g9nmICGTezlSO7NPP2
Dpmgs/b9Gepz7nfr3JTn0RfJDQB78eAoHZqWZD1fG3R8yCKWzsyP1mD/qKiREBsHzdG6dYsLYh1J
P9vpdVKfR61li5uBHoky7Bu9R8gVA8yfhgFTK3BpnAiugfLk/pCmP4WRYnPC6pattl5am6Snj7W6
Zt5Aj+N4iRJ7XeTRi24X3IrLv8FM2W3HcghCSF7mq9/zNqc4BglCnoMLuVymCs0eSesqASb5ocVd
htUeitqTWfq/IF8tzN+FCk9HLYwNmRh3veUHq5FcXPTPIJVv5iC6LdsRbeVo6gYbbFk1u+qlBHED
DhgNRjCLlyx3d442pGuXOyHH6BZ8Z8s7b6ug/CxGHii3SZ/6ClWtGqdhnaf6de5n5hLVFHLbqWfk
PibjTS0I6+Wbhi8fba2eet7POHraIP9kE/xBXfzWe2bEhwqFYJMiddh4DTJopDDyOEbxvRQVqlWd
LJzYMh+k4eLJZgQRgpM01ygb7BXdQI6q1LP2TU+AC+Ladj03MR6BtsXPMRbvusYp5MLphKsAh9f5
mMi5GGznk42jg0HWYMtnOZ//Kne/itP/u9xlBWz9rWrrSrZL+p7zif6l3v39536vd53fzMXR7NmL
WZSZHaa435Vb1lclbKPrIzzB0xcP2B/1LvR708H/HLjmF94Jm9kfyi3nNwP7HE8xZHwc4gQY/hPg
J2JhmRL+OUX0FvuxZfmET5gLUd/7Uh7+g4119hs20ZPKDpOElpF777EnA9Ik6uwqoNSdZcrgN9cy
7KykhDlJp+0qBCrvo+14F+U3Bg2fv1OOm69EOXB7U3DYuQ95OwvWaR1QLHbSo59NlmLH7h/6GrHw
YFr1eii79LERxO6poK6RfdisOinGGveC4LGlXJUb4WG4b/vooSMH1gWkuNGTqF5RoDyPIvK3dc8o
18ucM9tK990DYsQMmFFMYdJk+8F8SbMZduLQssdLJzB47Auhyg/boemhRCm4TQxX2TF1mbWugG2s
RsNbd7i9iEWCUSRsqsngk6CX1UBuedYZm6kxbzJzTkWNCNPsUCMU5i/HkCP40mhZCyf+vDNF/Sj5
bO9gaxBjM2vljmiuZ3hEK1cbzp3Dhxm0pXVWE7+ytJKrnbe7SouMFauvi+UQzIeiPtvJsf1BHTJf
o5eG0IxVU6XBlpi9o22I9MpC6MV1CBqoug1RAFOV2VVo+Pmv1oaHFLhqayCtGn13heT5qWKrJRCK
rmsPfUZfMg9jkrbWZrXXpu5BM52ePWgzPhNg6cDazjAEm+MaMD82FoQ3o1fFrDVi8ZhnNdGr/Ufk
cM3EjZ1ux3HyQ1Vk9p1jETjOIjllJFOWxJlpaue3AJlTpI0HJF7Tk5UVNyupbJRrFhN8lYnpUU+j
mdFD05a7VlPx3ejC73KeLcqX3azc/H7A5Reibb/Eun0n2KAnifsapzDkFRl5bUcUkRrqM6TSgwZO
kDzd1yEe6hPkqwnwKl9Vc63r9leSP+pVCt8Jm+newWMZTjQlm9YAQ96HOhlwqyqwtDAaZ/BLZnWd
oNMnzgC2GHk08YGAHKdFM4YG4sWEGIylgeAx/Kj83Qq7jraq01J/NmUtCUXunRX4M7PZoq9jce4P
xq5Cz507xrsdaUztCcpLFT7MJU1Yz9g4VvdW6zPGUesiIaNvFsb3nqAu9P6F3NgdlO3Azbd5FFX8
dyc2LFZWa3ezsADsDjOo+8AQu9zy4fzbFUkFNdaTsJkc9z6trJJctWY6Kbv23526EpCgcElhB/EP
DN67Q6qi9FVZcdCHXEvyLEwoYELFQMtY8D013ggHLm8bdFE6pqFkiVSshuJeuFZ/IE80feOK9B5n
W+LD0ZfM+jJ3T8ItglMZSHdruMOwbQ1jWRrOI3hCO3uaWzk++WXWHZVeZs8ZCT7bCjwjm9AyqN9b
yuV1ZYj+ag+BcwFmV56T3h8ekLtYV8eYu2Or10TlqbSjbSnG7UhY06lK3eQAQ9S5m+tC/LTsEVVH
gz3ms8xgbKyYlAeXuRvkhQTS4exEaXtKI5+YNUhY+r3vj/ptsPrqarCCO2dJIZ4pqwJEZk595lHx
zpY26GfCblri2mrJtDkrvR0YtfQa8AsihGinB5XicNr/w1DlfxG6Wl9TiD9PbWYgqMGZnXAL+ExF
YLX+dfeT0EQVFoz7gx/H6bW066I/qKZvrrCYWNtF8KtKAwjDBF9zDVkCHFXvAxwetXiDNuPZ7Rtt
m1pTxVuglglqYxRrJ5b6lt1CgwxKxt9bGGmEExaxc+/mujq1BPN5EWB3WQXzPe075Urkp5cpTvmi
KvFMeG2xqnFO7wlnzULmGsSGT85TXbOE67ohu4MHBhlpmLroqRwwHO0CZ2JY2Hhzla9hwrORp66j
LXG9ctrlsyCStEE7PO70LBYKF61dfNfA8cs1ET4FUQdG/mx5wv/emPGxSfEdY6C7dZ62y2WbhxOq
0BLYQVi1HtptPXV3MsvPmgXiY8oMkvw661aO7VmU9WNUez4kcDim/egciQwfw5kOc0NMZLKytG4O
PXwkQJoQUs52f4rq4uxJXn8pJ4RDTbwdcphWeAQJk2JSgPvNjX+I3hmOeT/YMGYXjB6u72sxKUYd
gZFuCTtXt5LQ9XXZxdm1mwcPw27GozTTvwOtd/XzUDqslTtMyNLRkO47ungW4JrPsXSra4LG+1YY
rn4vEotVcSD7FnNwNp7z0pWXQW+DC9UmzzuldPMJh6onENWzxM8sJY97rKNxWy9vyrS8M/7y9pCF
3sHL441KG787imi0romWjw9lJauzrRPNOommv5aMINa5WzfvFRksMUHndrNNljc4WN5lcFfjU+Ql
+VO/vOmOwe2DLm2g+OYckMuJMM1sykobfG9f5ctzUPmPiPzSN+Sb/WFezpV5OWHs5awhTqGBW8z5
My8nkVzOpEAr9UPCEuScxy5H1tjW2SvCZKBASRYcSnwpp7RFmdi3rv+uUnM6lZHGIMhNvHtSGjgY
A/70iQLE/UF/LXajcltUYNK9509rd10VEzKAYmQjJWgitMvTIu+LakzNzRxQoSRE5jVbIh5SY2U6
nhq2UEEQEiE0dLPQiK162me2yPpr7hEGojsVePOZRnZemwFSCORLQaSOObV++WoGHthI00nKNlS5
lbT7Iq77+GySe0VD2EisX13r48S00DUPvHYSrbEeawhofSGmGIj+WC2GTBDLULWcWQ9re+kZylwV
O79qrTtL682LH4/Ow6ihkE8DC1KVso1bA2YsCaHyZvquckVKHEZt+APtX0F4TVIyXevdinCzAHrS
qvZmoW26LKUCouNl++9xbH6b01RaAH9zg7MFJ1LAI2ZUxrm2WvOWYBtFylQ9eNE0h7NSaOKaqQxb
M9+TJqzDkWyf2/7sIhSlV9QvGH7xCEkwfWarEZoiLQEME40uSnnsLZATV2UQj+usKEET2h4zyV69
lUkwbCc1/DByqwp9ALh+MJn3kV4NV2JmzdBt6g/pfSCmDY4TqSqcN5OJI5VrwCoqe6U8feeJgv2t
cVNocOAJ+uh2hwh4o+eGcVbrm66yvVMLhmKfFlEWSqAKkU8qStJx50no2hr3/0afyx9pA9We7wh1
01Raq1oM91znz7NRyl+OPYhD07HqHdJiPimmMKtxYC5m+ORHKaOafrHR4Bns4gL7XFO3ugLFJ73f
LU7/Wmv8//q8v11rXAjvYq/xv7R5f6417N8Y2bFD9wkEM2zfps/6L4MOCd5e4LgkkAXuX/i+zm9s
GDyTEwIwHQZEesM/2jxSzhYkL/9FizWERSP6z7R5/8MZoxNXFhjYhwIEZYbjL23gP7R5TtXkpaYn
wV7VMtvDvQTwK4MjdgNrVcI8j0MnHp8SDKs7G1xUGIt5fM7IP3nMDfkKcbS6aJWPaSTKxpOHAPfW
9PaDkZNmlMwGdfzAXNVkxciMnKHFStTRi2362aVNtENTL3zszu9OadLcNKxCRBqO4sPBhoIkC2ey
2af3ymeJwno0SxTilAnpXtVxa9KOzuuSJcZTAMWOsIcWuvkwlRfOrJFoEHzmYQYJdUl4YQ6J9XSv
5YHt7NGWjI/0deKbLMufCat7bx23VlVDLlVv0kSVCGB5L237qnKsiqSfJafBzzANWHazzm2EGAy8
13a36GgcfLoNtLubitOKLEvo/R1m6iEzQJRKdHFAkw2uMYmKTchvWD3wfbYlzYSWt/xCzVCtBsdC
NFcvik/Mtyu9i7e1yWXf8IgkK3rU8qYP6nNwGhvOaRSFlpgW374+0Aw2+ltmgKJfsSLtdxOScU41
O37shzFsrUF77DsvfehTV9ulgxPl65Jo+gdn8Hx0ZvHAwop1MwEaBsZNmuyBO4yjNCH94qtClUux
GpkYu9vKziC3EAzJsDglgTMtRawdak72UzmmrdpGs8m428aRG6HMidp+K3wtOPUF6qcWTgFYX4xF
Ysduuz9icKjQ6QcYYde9M3FzMAshR0E1JYkPNozbH2j1RmCvY96v/KDxmDV6FQO4PsuQcU3aFNy3
wELcVVYtxlAj8ByOS/S3+sonVvwbs/H6MretzQYAkaEMCQGgQyR2wVi3qA9wd0DdQnraMj/O+zvH
thrjYUpaH9GsajQuUNtLvc1gGxS8QU3hfFMIV8Se1K4OOu6k43RPKbXnNSUKnkkiF34VpcxOXt3F
MWYmYCk77kY2+4q137H9EpcORr2oeofgoemp1BPd5WYHMAA/dtPqbbbugXVRi3nU5NbV1+1vaePd
j4qJbCp1k8q33ouWJtmp9Uta0tOCcr31S9td2o9d7m4mw56ucmljs2QZmVZnFUdrKykOrri4GRMO
/LLc/fEctnXBV2YOzrrNiNeL9cS6l5Ol/eRxXhc+mbX0PGYrtXU++g+6XpXbYhhXGUfUFhB9ueZX
/WXND7jL143PzxiYXzPNVA+Nrh9KV0hIgaxe8BHYjHAU8T/LOlKmyWNQkrblas29705oCyekG0PN
/MHx4/3XnIAYqacMYs0uSTy86KkV76vFSua6GeSNSVMrIyuacJpnnfVRob3bNvaWCpxvDplitjAH
96UX73MfBES1hAraqqqYKuG/ioD5X3Sp3Ldgih/NNJNr0si73RClJa+M2iY2uUGG5bVhhyH7x2zP
lEPGtDH8sTnjPicNAmWayNPo0DveI0ffJVaovKxqMo+J9Ldt5mwmlaZbmziRXRWwnGIfs7Nd/TP1
YI+M7vQzTqI7SwwF4mjb3doNRhD2vj8HYtE+ujn+9ff9ofkVR/zX/hARlOui74DhtThD/3rc5+VC
kZZGsNdiKNYiU+YqICXKWMdj6dwJFCky1ObOKVlVJ81FL0b5LVYFMwbsYTASMpd9LtW0y1uHEzi4
V2bZBZt4TPCNI3v0KWOMpECX3yfTS1HnBswGgs9XRj0MUchQxYNhBG/OXdTkrKNHrEfHxBCd2AlM
PvWhNhwOi7yMTlSJfb91vk4TxPucLNXXKYNTJT2NGVP6Q9dOnkmhTPqtqGt4AZ1ua1vWIOrWKo0R
VAok5VBXaL/rpekyI+RFZhsD1Mb5mUbNdiCudNtJkMaW6s+6LYaTg78TT5M4sRRXG2WiJkrMQKwz
slhCMw/cVU93OC9touI4O8OWX/DWJhsSBMQ0BRKk6hjt6LhNuMYkeRlI154p10GAWyLlWW2qLN81
idGNO9UXONfdWeL4YdAl166uap5uEr/pb0pDJY9yagxwyBWpvaka6J2d0dzA5atDopTBxwcxWvml
9yYxl0kG7bgsanUCYmzfd3YO2suP4vw7h0KDHMybtw5MirVXzLXkC63UXV92/mfcOt1G5uqhTgvz
6OqYmkm/UsaFWWCCXWcpLdv/LDPbbJbnDLXGSdAq3OV+pu08trLoDnttZ6BDuo80ZEGFF8c/okry
to6y6t4mh9MLr4d5Rygv2jFmtOvCMD7sNILBOzYEqxUOygQzq+9TZg0r6Zi7NCsw01bGkdsOYEmn
9XSjlb92x7ra0LrCAwUHSkOCZW46g1L4JmLyCPnkXlPoDSs7gXZTxATHaD4QD7M0nuB4FWHSjfva
ZheTpOUuGK3PWDeGLZDsHxXyBoFFw9gRpHQk22otDHVOTePUZNFrFMNJqMSh6IcP9jXYaoOr3vdM
NbvO2Y5z95mJ0bjCMv/JopmtVlfaa8PT660/4ssvjPYdekJzFEuUcgOC4RPGxXDsXb95yFDOHpqG
Ja4qpb/KssTf9X3zg2KR7GzH+uxtprwaC7iQZb2/zgwpT7bSSJXJ4h2QeeOaV8EFXfkUAmTH8JJr
09ryjGJrwVcMq45dXe/UGJ/LjqUhNquALzuxB+acPqPP1N0Sp9le5hIc90TY5c6zS6aTo/mIin+8
pIR6HQg+YVZiTC7Fh+Fe2UgbDwnkkHsnjzdW0MuDtmxdY2YM6YoYUHkEZ2UOKN9S+2cTpUhFO6P8
hSiMAIIElJLdzQUR3A5LSsIiEJI68VpZCQT3YVTcsIv4dPzSobrjBN3iS53a1whVpSNbfBZAXpDf
K/VLfOlaMyLLmLfErbtyTMixO63GYbXBKpux9OWOrpfbOvm6uMuvS9z9utAtDw/S3v+66PuvS3/+
KgDKOKIYGL8KA7hyFAnuUi8wHGr/JSL7zxXY/9VtcS0hltf/tt0KhXhvW9nE77X4S8/15w//TqkE
cKBDYXR8n2uOrdh/7dZ8/TdICUvfxalFv7P8P3/s1uzf4Feil19QlYRBG/xbfm+6DI8mjtGq79oG
P+qRt/JPNF3U7H/drSFkc7z/YO9MliNXsiT7RUgBDIMBIi298JlOJ+kcg4wNhIwBo8EAw4yvr4Oo
zM6s11PVple9ScknMZBBd4fZ1at6lNZpYHgicvl6fzmFmUeArubDRN2PTsUBTILZQgig92COqoVP
Qb3A0qPrCKbWkMSsp6RcE3TexD0crE7nbSmaEpdq/JOk0pRB9bGi8k3K8rnIRuvFX3vTk0kP10BV
6a1REqa/8aU6tviT99KtSbJWbfpzcEEmUe5ehhBYUzc9xVNQvi1JVZIrK6vwFpK5x+nKVWPrjPH8
GEzUFLKUfk56d94u1qlUqg83YuC2A1HK3KZhhHwY8qg/cMQjelAE0nVbWVKmd6zE2HA6zTyG+nKx
n2M/K9/daUqetdAVZx/TFzaS5G4uG4x1szUsXzxgfbIpEHe6DpPhKEYgME5x4+diBTa6BEV07hQo
rCUm0Qne20O9FPmesqViU4npNiENv3dUKtinGUFXIoVXXp+hF+rA+QqzEItSpSn+2HRhVlyI1xdf
YxBxbhZJGf1MtJW8CpxJq186IqCYSUtwYxJDtet8G0OBW3gb2+UOkeeJOOe8ABgEtbftgny4BSZE
mSRbmZ0UE50NS1sBDafXT2+Xqan2qQc7a+faa8Q2GPPPrPLUL1vEGJtIO9fWpqkG/C52NJP8jfAE
1n5L6xk5CcHPYeiSteM66TaJ5epyI0jEYRYeI5J0dP+mbdxCC+shc+MhynTDWEG3nbE0dK5SESOn
aT09uS1fxwHSN+wKM4bRFlByg8nHN6SDdGxoXkujODsxEfY/MSWN6cEVeiLsZ0VH2cOOInkYzPj9
e6qlpRsW9R4uevvaea64FlnuXeKgb1/SKtWfie2mcK86TqrbLuGtuIUEWf9oSJ99tFEKP5iUFNJ6
lJv6u9NzF9wsQNGLY55X5tmRbnT1PMeKd0s9Rpe80O1VpU0DmrxKIUBEU2geMWhPb63HSYmTxbZ+
9XXuY5dxHPPuyUJ9BU2A6jnBMsNNE40vbVW5ePs7hXxrOmzIJza72EAGK60wOWJMG0uBva/D6J6k
4/gWBWP95Hd6uXERE/ncFvTj4kQauLMFSJAwl23wi/5EHawtiq+ED9f6R2PUYM+UZXOyszY3e49z
n/kBWbnEkIPE65WT/S1htHwPeMvNGC71skr/vIBhD3fwSO0J4Hq3oeittdEWNrJhXlratAWAEPyK
S7F8jAkALaKfyPvuDz1EkFrtIjdfvpwUdijHmz4m5JVd06fTNqHW9gUzWX1Jaak/FchV50qV9Cv7
SccvSxpfaDNpvy2txIGYtB3NNuGokWo6ssX2gsmeJXsNPauuDgW7FWabMD7Nc0qwZl44d8t6ixwh
NhDmsF43ptosQsZvkeBKW3Xss3ZBEQVby+lb+lY6UzcUUqpmly4VfDO6tdd65XFSei8wFQHYY9Pz
i2rx9HWRaXprFw5FNWjYEBssZtl3iw+Kc2gwE/Sbomn6D+XmKU3AVsfUX2TAbzeL8psrjclqPoAE
4BqoKJPeOeQWNp30ebD0fdDfN00xz4AQNABO1bbv7epuY1X0s1BDzgXK8JweypKLcFSshqTe4hKz
RM2r3Yn8bgkF/MwonYZvXpyYixun6YfDZq1kzUvpci9wEfKGRR8GhqhsJpxmkT9ajPqnREHxaDKv
3obVoM8cJWjwSV42Pz0rQc/mSsOGjG7f8S7ruerAxUpmH4JrnreU1IJ823Kr01wiYd7KE5pUGgIW
SCgroFW3/TV7re624yQ3eqk5ZbxBnYwyzTkOsupB8ZNapREff5kay6I7itZt05NWEBq8LOgIiy4V
G0F4M0m2cWitRPDrXRK7yC+oZLw1m9/TOIesewgrOGC8icstEw+nqKyeK4uPG8VV0MUovW4+MknL
M5J9GD52tRFvs9Sw9MgSiotNivA1MkPzTol4eA7zMsE8KDsL33KduA91F1YPAQuSVwrpqSaPSJQA
VCdR7R7m2iFp0GbD3Sw7EBj0iSdvkdPbAFqIPvy2G9sJb/kOUxcLLfFIIiBz+NFNWCw4oAT04i71
1Sn2hM+DYfSDF55N5jIoCvnGWIsDfQ1yNwHxBYJjGWIspZVZKaTJ0jlYjc7wccTy25zbdDFihX0o
KCbcloLWvQjy6VWEXrVNF8e5MkpqZse0eevRYF7ryK13DhiM2pbuS0fi7VqU7CL6IndPja/sl8bW
1i+RawgJIhFQzlzt3uD7w++XZl78ouxEXqXOXrS2rWus6VABUcn4TdS1uFo5O8HEq0n2wB71SZaC
hE73mV1VM7kZ6pi3M02tahOX7Lt5J5Ru/QkMJGaH3iesNWXBCnbRI4APXNRdwtUBqNjyo0xJhlj4
1s226uHs66BsL6qGlEDuM/sOGuJDoTsdpz6ajnHG0kwGKvuM+xmzYDgWTyHUiCO2xIXKp7Q6NLjs
GTRCYe2rkbFv7lO4L6KlcPpO+kp9L9MBS0noiCnc22XB8rQytndTJjUPlxZd/qZPs+6lWUZ9qiyT
otHaZt+thkwlE1xEBYIUflfPPXo8gLbkl4YXn6PlEd4L+h5Q24IgPWjBvWYE/VycfLwLW8SBPU+E
9GbQcUor8iCeba8HOw5oYcBSym4WC3Pw7Prp3GxLKK7HsXXFMQ+n8H5e7KS7rdo1rB7ZaUnLsSw/
6zmKP/q5KJ46ifnDNKUrOZW5SgCkrnFOOhSWAQiajUWzaNJX5TWbvKrY+HguOL8VeyjTdhnMHE/P
38TiswUr5vpa1NWaeEejzDZML+5nMHBpBvaQpG+BB8YQGSTUFmI2PnEvyZEz0SNRMFIJgSLPaGW7
iWKMi8QF8uDbYPGJJFg6PMmkaY5doZyHUaSi2cKBRIXvLR4PQSWTY6DK7iOZC72yva1oJ5KeVszG
bm6DtOCzuiAwXOTsEkxjgThsIdf1j1xg0cSbaEjfU6fD7FGOA65peFbui51PzTcSf/U1aoEZ4q2B
i9gHgCA4tihg8xvDK2ro4aRZU8mf2vMAanWpmO+tIa7OUV3Z9LNGGHrM2FmYMSVYSkCZzi403vzZ
kf9DyKK6ae/N9fCVixIrGJvQ/jAWKVsSNvGPQwFQ5d//lez6qi1umuEjGuSLm5MKGZfR/8aHE5N7
k1X1NVxDFGmjXv2ifALEkLE0TNpLpFKPz2yMyoH7DV+C8mkBtOa621Wu4IWP4yD6xhjOCRLToMDy
0BNASVbm21sexM0lcrR+irQOnsgx1ncML+WlTeby3cIGnm8D1YY/4OHQVlxYPqJdIP17HF8DfJmy
m76H2WzPZz25w3xiV01raFoJpyTyBesdkoP/Iy4TcnWVjZOuIklVbiDlrvqZCSNkhgRbMifXL8tp
g19JEhsghDCFCT0sdmh2geK1ZonjZuIodJS9DnjvDxbF8e+LBcDUjhRpzAF3AWdbOrw5RZQ+sW0t
76uhX65L5na/3D+Hr4lzSI5IBNwhkvhpTuf2a9JheyfBpb+Ycbh1miQJUDOH4DPVWTOh2IcpjsA4
kih2ARETeJ/uQ1jIcWevFPZNms0sEtpyzdkDGqZ1q+/z5WYampaHRqNZp6A6+O924jQYFeEUw4/K
DFgm265/eFYDrEYbUn+90Y+ZGptvhJwJ8jXs7Uv2WG+AodhkT/OU3ERD33YHZ5wQ2lXVJSAOvMW6
KarGPgmZTcB/3dnZ+PMKCFgT5UTsuv6Spa6qj0UQdqgkDvw4RgLqXc1Ia/lkN8WmA/pJtCHlHjqv
ZNe0r+p659ZreiUnCOBsSfvy0gW6PSuVx+iWWA3LnYgdfW3X+oAepw+3GzA1R98G/x36VDNu2IyI
J0KR3ml0guor1Iv6vk7ZHV/BpZq491zr2e5Nf4X2Yr6RXZlvCsdVXFU58LdkiZZtjceHX1lL3EdL
6NvWnuuLjhJCCazqdbzVpc4/lS5NemK5kDxgmuefUBQEiPg85PljH6nfpnMDl48LvBgCSVfLZGtG
oew1dQ6+f5ugs1EYRhSBhGYcPU0ih7UaLoBcy7kPCgKzAxcS4CvA7DI/FLtg8bw1WBDUp7Zr7C28
28xiNE2BDkCIBVxuupaXhmu8raL5Fo+OOXecSJ9ZwUZ/W2VrhzK5LtluKkfirMTLFSMq+t10WMYu
hzTeBqiMhmQtM1sR7Am6pLetIAxk4Db8VKETEIicVLdeI1W9l31qwi1Gm+wmKriXTUmh7xLzJ1+W
xBFBdmm/Kn+dKbrQLzG5c4pv7dAxD16Pm0AFXXzCqludhkK2N1VPafuBFdfEmjUQ9lHlgabrYIi/
d3QKNFtc7uUde9BG3LjG4IWU/UTWe5AjNQz/3yL+n7KI/12PQtb530ciQf9/ms8i/atN/J9/9u9a
lvM3mr5gJCOnB8EqWf3DQCDl33xa+oT913pg1/mbIAyJ+AXx18Fi8E8lS4R/wxpOFpFwHlHG1XTw
X1CyAvlXJctx8SA6LGbxsbNVtv/Cv4WRXRvfDcSR1Zcqj7IMRkBzZAwZWaX/2c6xeHRoBds0dQE9
uVjQPuxiDrg4ezwUR19SK9G6GZE2bsgA8JptWr/2S4U2TTO8lIW/S4OmvJFcgb/SrO9u7Dxz1xV6
YmXbaKn4YJEigRszq7DYhjIjalk6hNlhuz8It27ZAXndKa96vouAsWgD9WXCLT5iB6jNL2xUmIS5
zdLaqDKs6ZET3ttdn12SUGDqFjnXWdk3ByVIcHidyvZtl4e3uesQGkoXs21gqR0BjUQ/c0LearM6
Dw5OG3tHPff2s2TKeSjqoDmupv2dcqdCbrxuXM5kqMWOWaw9CADLsCvZV1BpIUjW04MG3iwp86MK
WbtvkmGm0CD1AHazHwsfxzJP4DLW+jqEXv1lq7K59wqCgkvwvYvsu0VnLDa88rTM5WUY5O3iz4+p
1edb3+uvEjoENw0KCjzZHVyTHXEamhsgChPRKysoEe8tVcM3mqjFS4s4eOlQTDGalUNs7xwve6Tw
7tYUUwiDRXm7mAkC/WVl1aQgu3lURQaOXdUL/cmdboYBYuLvUT75N/kS1teldXiIL8IKqNalRtfk
c0ue27LvpjQlcml3LripsCvwd61SX6AmeRpaQt9l0g+vA9YYh8Zfv1Cg6cFTuJZzsWVo3WjB/qZ1
uxgBzqdDlndau+mrUX4bcSzcwmseiT2mGNFAMs77GMzbzywYzd7mXXlCfMLJrf20Otrar74PRJMe
JICKTUmk78vU+qMLZ/kRRYs8cjUunhR3tyujRPCms7Hc1DjSLthV5QWrZII3OUh3pp0usZ6Sy2BP
1cE0rnWK7LE4kjgUjxzQjAATWQDMGAXvaL8AAubEPRUjaXFXThQgb8oCXCRQUTpVcCzPG9/J5Vsn
uXFDJ8Ampptsfp6yZLpRY+tcucT13j7x6+HT9cPxHBeBh3uvzUlALN33Ebr7JWZ2P0VkT15aO7RS
PKB6xACYm+8lV0uzLfKlbbbDZPnNfWTTRkChqrIMTB1OPjwX1r5wRwLN8RjCIqTpEVOuxZep4M5c
B/bzb562uC61Fi9FU0zkntqELrZNNbj6lmt/s3VJcJ5lTmTJgtjzwOMCr2KRiew+TxlcwsWjxKRb
usuAV+rKSY80R+XM/Bwt2jl7RdeuTiBH/yA6njzY3QwBVji5gLrTgCCc2LhtXEdat+TQGqZcZ9QO
X7TKHwQpurt4WIpra0Zi2PFU7bvSAa4YetNJylEy1MC/fgzrMX4I2YBdaMPAK1pDJt20pC0PIYwZ
syERl11EHsO40nNwcdJ2urVBhh5tV3SXyq7HuxSV9TslxQAaQQKCgRPza41bOdr6XP5fKAMXdPAu
+hiPkGCKuTHPPlv6XeahLmelkx3JrvDZmkdV0D5ajo9h70yPs++PBGG06bZ1RFcpj9Q9ud+T1diG
VPCQEkyI7RN2pOHcSau5OkGkrhnYpbfGCkb4prb+NboM4ptl0uIUL6H1zF5NPAyt8N+cuLHYZNcj
7m6KdDcgWXL24jDgmrUwpgI/x+J2rN98TZONVU/mLUt7PK8sHbtNCVFs77IfPOQYJY/rLv1gt+mI
ySFpYfQYBmQLY/azJ1V8SNOwoxouHOcbTR3NJVHZcpxV4B/DqAsBVZpllzg03uamj96Z4OWhaUX/
hKFiRWeaeHXzyvdsdNRRJSY9YBpt7kXQ9vfsl1f4Jj4kfHbqO5kc4tKhUtc+GLIjuxRmsYXFQYG3
d68G4yI0WDQlcVNr9g4cEW/rl0V6LrhznpFgmt3Yh+bGWxx1ral135Lu/SHMFKLAt2cKXXjGc6oB
Bf5eu/S+4wqWT3ScYwyd5pswlckLhSvDr6q1Aa8adzp2ZmXUyl40zj6YFyZFu0xB9xqPNIQ1u2vt
kXHrSy0p/Vg8Up2mx+BVhnTHoysDf83XPTEwC899N5DafCT5O0cPJ5Xg3ZFZcocsZU48qvfOzDCv
ctWcsGGjgBgHz9RUVvXemA5uGHx5tzwXbtfiDAkJRqU5pS5orT1o6S4vb1JS36uJKqn2ZsI4juXi
O+s0nsy9lvhpR3dCqrf98dm0y8ycIJa9aEb/UEVqeKLS2Kffhm3OiVAmVnhiZ9zmp2gzktNcEChK
1bdXhJj6q+7dAtyfqNdlkDpPNT8e7Po+ohZ08GWqvbu0rV08JDEqWVvNt84ojp27LCegBsuxAiwJ
3z7+ya2dv5YmnEm2p1GBFQ4r6wSFC4mE/glfxzeYMDUAa8t9gmFLfCrX9jM4N/iNxgL7lsoKyyFM
vt7d+Knt7dgsUE/TZ/R2Cdv6PcUmODtk39/4fDQXXHX9yV1IVjP/6p+K/vlTKGqsX6Je2Gv6wFDT
6hoXAIkJni37ZFDxMy+A4meKL3LTFARwQjF3e69t0nsnwTLOb3TR3ScMCfair4D87AtmG/U+Eqjf
D/Df7C3NsNBTR0GOTQQdkl0U2NFvZbnuNiaminxReJizXUN8NgnHbE8aLPCOAfVVN5VXWWg5RUKu
bvKALE5TbyMiVwFUyqjST9wvsuquTCwr3VmKhPyGx8A2vbFbZwl3omny8SGaJnMeI1M+Uqid/VI8
cWDRefT8lBPd760bZK8uc+g+57pLYNZxCA0NBMREtXT8t3RPKk6zg5sLEso6s7ESrIp4KLKTrTKx
7yUrF9S4B4sdU4Vhmi/Y3hg96V1PAHgT2hNDMVcLBviCxr92nH6O2TT9Hmvxk/nPfJfl8BnUg41i
5iX6IbKS4AThFGK0zLJtpd3xIl1DzKu2h9vFE2anY2RC2YLPHEuOp9bu3bPbhC9iGUl7iLHAymCF
1OJV7S5tpbMpa1rO/dKvDmlLRVteVeND58TWMdZYMZHKuuPoOwGOO9ISAeLwT1Y57oHPaHKs0sXl
ZejVS+br4C5zw+RqYyaBzTt0BwtkMFzRMnhOqCK5uBVH5zYXS77zva4kszhEyXm25HBoJSKDIZT3
5bBk3odWHV9Vhj5jj5oyNh5RJAZy/77XtOlYZUwku7GSXVy6WPbHkL6hFGHe3y8lbnu/QO7bimyU
+zS200PeyZj+H7oOb1SkvVsZmgEIx0SP7BQ4z5RNpXtTg77qcQCdfNpJjsU8Om8IeZrUXOueimAY
b7Iy1lc5lggffcAmc4VSZ+9+ZrpTMxb4XcHW7yaBMuBlldxAiPLeOOiYuANDiwrtNGLvjWFxzhwV
nmQMV7ZP6up3WBXhXdD65etQVIqMdGXv8YDB7i9gOEU0Mx9kHts31VA7O6+II46amYA1twGXIFA1
XVq7e0QNOXBPJd4nl3wP/uGbFetdM3rp/TBbH8R2UvroNSnECiZUEBqoZZqhpQ5ku62FPZ1rP127
IMlDbiYvG/f9um1hiLf0hjcGiprqyvHJLtgo2N7iA0rqYv4FrGPgOMTnf5ks/xe5MOEx8f1rmtf7
65zGEPmvNm8LUEBOm1x6Ys/HjmwF81pDJFkSh9lB+Lley8Os1yYS00voONH7HA71g0iX5DacRfMR
04vArpILPvAAkRzTfq5fJjdaDrZvUZYnC/ZEJrKu1WBEyoc2g/Hp8QqAZfG4SlixyN49GCo0qlM7
tI1FVx1ZCnh79OvbkEqjH0mgk51rTZoShLI94XF6o78JTkFX+/uYVNS76HuSFY5PBKaJMLCta82q
8P17ryxgKpAv9XcKMzrhPim/c1NPjr6AD4pg/6kH/0pXyzO9D0BlC/g4JOnmnb+k8+PQVxeQVMsF
06LkBg62jP2tQY4thjQNDuVkFh7bCc3XoqN9jB3juhidFZfC/WA5+tsiVAnlMQsLHrFpMFxiKeeb
lM29yypABI9at8NDWy65dZh4HJCTKsQvPHDZzzpeBizZFjZjZOonvRRkV6y02Sxx4Np7PQ/Brdf1
1skXcCjafNENhFiCuKB/7OnX0E7vbbo0LDH97OAZVeKYbMoDuEw2/iwNNq5Zsrt49MOBHLPpJBVs
rKl6ysT2EDKzh6WoOKHRfs8x8+s1AySCGRKi3BMf9OhmiqbxRmiP2BWLCpAYc/sbWxxXQTWO00uq
Rh+3A/eFcRs2UJW3oWNpaMzcs4c/V+7yz/VbrDdxTmEu5Xk9tnt+kOJgM8uXG3sENOyuN3lyTTyb
wvV+7/y56QPSQX1d7/+jFXaXaJ0JinU6oMOPso5yEPAREit8aPOR+kYdtS9qHTDMn1kj4GbGw2gd
Qdw/00i/DiZoaeNV/ZlW4nVwGQ2lnPhaxRbUbbRCuxtrn6QWRVh/Rp7wz/jjSEM3Z9fIidxQ4Jwn
42NB92qwg6bgjRsVAN0SylY+2TBgqiUwsRHV0F29yeTHOSS4zkOMeWtpluea6NWutOonS2TZqbb4
gblWrZ9IkXtbnXFTtuYWp4/mKnyWE5jNIWVIozkLR1ufU2iVhlzDSHZ1ERRs2/kmGt/f9iT6r1E4
yreG12CmsIORsViHx+LPHIkDoLhLiw6lgCHTq9aGyT+TZ/BnCo3WgbR23OLYrENqv46rvRMkl4YJ
tl5HWTL/vOzreMs3uQ66jLxmHX7LdQzGacT2bh2NfSsJKUFtPuiULL6CdYDu11F6WYfqah2vQQoy
aS/r0J2u43e0DuLzn5m8XMdztQ7quBHFbbcO79M6xnd/JnryYjHsX8b8ZR34cx7SKiYS2ZHPVpv+
jzJQrCJBv8oF/iociK6Pdv/nJ+qfIO0/jdTy7w9U7oZiVW2k/5fcTGTYtHhE24/YXZ6Xd/e9+bTe
m6fxvn0ki189WOX9/1sxdQ18/dD1bLK1/OG//7e/B8DWxqH/8B/7PwrnY//LzE+/Wqj5/9AH19/5
n/3Fv3Mv/u+mv9AV9OT9y8/+f2pAevkFSSP5rD7/4vj7x5/8HyqpK0QAMzDg78PdjlD57zErVFIi
VKiTCEV/DH//0ksd/Y0yQ9CmvocWFNohp+I/HH8+MSt8gqvNmrCF/1/rQeJv/Mv5G/i+6wQilA7w
Dpe81388f7MizFo3B1bO7eIpIJxyUt0EgYy6yENkqfFXDvINSFMUnXBQzVs5lcAw08A9UWIHqRbG
sL0foJyxl3JG/7ENRlZKS1zdkN9gUiuLiQx2EtxxZwR7GEdgnNgC/jSwZw5LOeXcYqe6+yI0bbd3
+WqO3JgpC94D30nfOjDEd402ALx6tjExQ6Yd3sppCW/YxbJ7pYg3Kk95bmPySLDf9b1nDUSBxh9x
thja18Jb2i6H94Dd+dbXtYDP5ATZshlm6Z1MwCWjsZa62CrjoTNCwGF/jK6yrRoEY7BAE/hZqius
CmJdgkti8hjKyJ7WxL8tsv19HGbVccIG/cp2n22rTfkR3Imsu6mjPH5ZM8XIP3AFZmLoQXo/42PD
wmFNzJhYr7IHCHTDm6n8rNgTFLVvJ4qZN8M43zuzM5wypx1/aBs7geWWbcOGtG0fOB2YdxjQoV+X
jv8W26N76VzXekkLab9buqJiKXDlcDM3A2thTPZ74ybJz3Au+YEnwbR+49hQ6oLvvU8xVOnQnDSq
6MUuM4AovMzVV9DX/k3LaGk2FDkKvskwQgdgTXYsIBQ/CBXRC1rIed7FxJjwOlg0AiV+gIRBNSQ2
PQdNAujJbmhHqG+tzVAiWOQR7nrqp8xiwE4GeCzNQguo5ec4mFhjfyZpk59HwJ53vKH6nChOSF8p
6SDEwxJNKTXRbphaWhVtZ9hFiwlO0lLZW81VdrdMULI4Zcony5IKfAUEOy5kyVFj199a3eg+YImy
92WYJyfuvfYtryi8VKtFSV8K+3uzLMs59UDDa0aZuznnjWr0KL+6opoOtju1N4XGmqiq8KVpRgyv
RpM47tNrUUzjVkSmfsXyAuS9D73PzOnnW64u3pZcNW1WXLBdadpvbGs/FMvejSMnOB3NACxl6BOU
6a6iU5ac9rOiBcLAl6sxxPSpf4ZHm0h6mKgMHjf9tI7kPTM9KXOgJdROot4z42UvfA7kXeuo4AmV
LahOdjfl5zKl76mVdvjidbkudtp13PDIb8qyTT25CrS4KedngQXiRDDcv7f58WGXY4uIxhBlzFQu
VkylA++tykPv3lehe3Kwgkj8DDqmmIAeEXso64MZWSajn8Ttl10ifPGhDKMXWTm0eXYZD4okwB5I
qCyYr2QpgE43sGXW4Yc8+sJoWRMIByNLrfbTFIakrccZeJ8bBcNHneX1fZZ543m2K/++oAbCbGBe
LPxNRLzKoXeeIsH5Gi4NFD7wasNLGE3itVdyPAXjNH9FZaZeZrouDHpE7n3x/s5+czV2Xfg9DoJA
NYv00yEbRKn3FAL7i7m1P+QeltjZVsInkKPc5lDovDmOSdNVONni9Fj3RfVAwMd9GRRsh9j44rlQ
rXsxVsMYyQ8luLIncsCqBahGyLGJd+yJVD4sY+48DiYJwMFQIdFBvPmR8xbmVY1d8UaJeHchh+rS
5bg0pxC9Akp/Gd5XlQJAU5q5Wq2tsX0bxLVzihoQAr4z5BcnLAoqXX3fmZGMkDUsbpgUAAUluMzc
kfey6NRjaBL7yROTqDfcpdwUDvkoX5NS2e6259j+MS700dnKbrfS5lq5NX7DwBiecxpf+Mznuuk2
+FbMPrZ0Aa5iROUmZpaeXSTD0xhV9wSHUFIdfKS72l1xxlHnnKbQUY9BzvXc54O7Jx2UHQ3/swEJ
Uz23Ax3WXZsRJs2iBxDhyV0xKXwjbpTd4baAmCdA7DWmG26TQImTxPH8VSxNcTcMhFvzKu6OqfLl
LcXDvIa4gC9x1EAf5Zq65VlU3VbznC9b7ffjXir15bSlprnCMifXq4JvTDqHIOy/5QEpHD766Y3D
0jxtBEJTXgw/PY3Rs63lPmiteZsiiG8HTecY0sQ5s7zm6Pc+wEcnexCWJ6n/CKxHh0TvacbDDko4
Pq9zG1W6wWQj8lvzOyZVehViJzGPIvZchLXEQgL1xI7K0xck2OmgfDpXsVy9l/Ysbsoad1Bgsq+c
lu3yLLgSko2OeqCsiUdfGg3h06GLveHJoSjijoQdRGtADfcGPrkM/e/9VJ8oNiZ02TJH0mjcAxok
IhRqcXFIWocbnQJB3wQmYhQZUVV2Wvb5rXCrEOGsXmZKU8DQHLl083977akjGaWzKWIWeqCWmnm3
pDbapBN2swLNMtanwZSfai7VOSiD/sNFl4q2dJADtZm7AanJwf4AUrN5arrSHJdmDLnLeyH3hGHq
bxUdUepADishmEkUfOkt95fqkgGmuxrIqXp1l3KZsZISUmqfYd2qW86BTLR6gi5DtmC7lHnwoyL7
+yCDbnzIChzKdUWoUrLY3ERRP29LV9xpHT7wzwpoCPRhUbmtTRVhHHWEIiErTG9xnP6MeLt/LH6w
49pz56esGYnQrf6RuHlCCco2wLiVS+dVS68apIaNjRH/kfb15cNKwCYmspzOuWsiOBAl9hh77AhI
RWYEJFH4Xy2j9feEL7xJHODfYcSCWSlLHpDezauWmCuSoKTDRrbnwKj+Wudx8lb4+HMUbq/fri1L
tFivPgi50EQTlrjjTmUHiGSsIh93BTlgVqUVVSbY1KorZ8B4pAJhuA992hIFF7K3bJHFeWqt6dwI
ijHcpiE+q/yOA0n6l2WoKNNACyVyavhZ+TSe/2Dqs08h/NKd6y/xoVXAb8iE+Udm5CMa9OscEKTv
/Gwn/RGQLWw10fo7aRPFDBkrceSCIe5HAwQJjBUl91iNpmAvaHllt1aBcx3JuQfWLhDzo4VQedZ6
9G6KevZPGWuOT5KI9bb1uFL4rQJrEVb2oe4yTGKLIB5p8PMGC8tZKhrGg6rb+I7MSr7J8AUcalYP
uyE2Wz9zxX0y9LdCzL8dp00zcGygithVB/7PnuY1FLK52OCKG+4jghWHfyPvvHobV9I0/Fcac7FX
S4M5YHEGGGXZsi1nu28I2ZaZc+av34ey3WN1OmeOeoEGVpcORbJUrPrCG2KnyU7K3nHniBWPxKLh
VIGfXV+Xdl7edCqiI63X1rNGas9EB+Q3sirFRHR1f4JoUDwqUOedBliWYPWdWjOFrQzZX6V94J/q
lRcZ/SNiMe3UBk87U2GMr8Q0UIYseyDN61UcjNPUM6CRYhKnUbpcxJ7qItFlGBdpzVluVyka5pkd
nCP9ghyb3dsXACnMVSTGwYpsHv1mNw20NW8oJY6U3tGKPCS6iB1Z2/ZiC0OltONzpZWlM62S9eMq
D7Wt5drWqY7S18hrXO9KgdlKW05XEUXOYg8FpKg8ZdsMlxkW6xMS4CcyYWthxH44cVS/OitVyXxQ
1RLnAErTMeUcPyUuUnya/YjEEfl7irdMItTeoJmmHbtH6Y3gU8ZY/CXVwsoNHeVQo7uEG4tSDeLH
x4ln2CgBWvEx0IbutqHHet6irpDohr0W7TR4aEQzWygGpjhdoMzBG2Dp4vgZgji6NI1yfDQ7V0rO
csPnpEttB6ljhYYPNeBJZekgGaJAu4MSA4DXM7Ewq9jwiB+Te6ShtM9WHAbHNKVYwHmhrkypTA2Q
pVWVIpHtuBeOjMZ8VOk4IKR9+2R34SDEwrlnmzJX7nCyLgzO8RbC/QmNrBu9rFGJFWyiTHxBJjQL
HyjPY8QXzGGOpkspQuawhlvFiUqjRSHknYhahWipKExEkG4T0izqWGnz5HlNdR3Qbzv286ZjWdf1
UtEkiapOFU7lIhAnbRTYiwbBZUsErIIwhL80wmc6OzCPzBRId8JQhLAihbIwf+oEtzsJUebFaRYS
/UxG4h6aRSNOzYSsL+4bpk9t1HNBM5Ehd4N83VQxIHM9SR9FFswZFiOIgskgidG6QENXQjIbhS3a
YkZXInEqYhfkgCiwba8gXvDDTSBZPY+Sov2L9tYTyZgMZyWXJr6NYWptldkNkM7mEoAbGs60iKWH
2EiEzxGm3DOUL9KF1sKQwfUmTC1YTxFJT2lK6xxRDdwzYQuYAWYftWUFMzPtaLkAjtd7MrnaG6cF
35eGXMF9F7cNK6vR58lg8RHb1akC1l4HFW4k8C70Cgh97ZkvFgE/oj2rNrYYH8mkto5RPUTgh/BU
PA50ZHrgW2yzpl00jnVtDmwJXaq9tceRCCE47haFaTizTs2xJFKSchnwlA+geusN/HzqVQie3VIJ
t1YJPcgngZhpIADHWH1RGJzz9ahTmp7GqdKH6QrCXvRgmHZFbKRpy0QkpK0UAXAmqkzCFGU4j159
r7U5qEKhXWVxzBYPb9qaAzqC8N0A8SDUT8yZnfsmiIcOorddaIA3Q9v4bOmCTs9MNIPblBBpmlqd
dQbCKLzPqOPOO1ixC11W2o0euxFnR4AjaFh1IntZ3F/Q1YOCr/XthVAUTTHCu6we09aVkac2+mVP
peLSitDbczrbmwNATe9xncP2tS+UpdGp0VQPmvzULGWxgoOd6tOqlERgpllyUWqlLgzF5nyL7mJ9
LcRoT4+QiClOdXpc06bqsGgLOtl8CAtlaJ/LL14QI0DjujbdYYSd1pQ6MWgNFe+WjaMcY79WuZNU
0KpTLIDl4xylZlrlXXSPeCaRa2+E65jXHXvNMDmz81o7CwE6oq01NKUTN26ofUZysQ7AlJ0TXPvp
0MvpFrkvs9VkHKKXDlRhxE5dLUTBIjLngdTnV35KDAtpJYgWEXqqE4ssZiVThx1nITZOukhvJ0G1
Y9wVgXOr+qY3t3NbMVFYqP1lE+uI7xfAviLCs2OIPs193Suo1xCFXlRyw2nS+8ptBEnw2Kol/9Ex
Ks4iu+nPtB6wyAi9dWeVqzDy46JGSUeKoTf7obYU0xpaGoVlGaKAr2ubWhVcCCaBIm5ApAUZxYO+
vVOD2qDW4lsFhYdSFVHSspIKG7BCmiqJSbab2UI/g0QDmBzwyoPb2ultbWR0AlOVxMCkzNqZcnIO
qcK80Y3AODZzeDFSVWsTYL4RRpUdIZY/yJyMEGit78GkIA4r+u65DXl1ntMvxgGlCfSHnqYoQQMu
xmVqhicCgv8nkecPLsKVmk2NzPbXfqE7fLXmBhwOOxgwu56i1UzsyMF5DmksZ4Caoc3qNvCRET3J
AMX7ofYgoeS4wOxLmuRCGN0ooZgdJ0FR1VOazfojJDEX6IdPuGQFOg6qQGTQtlGk1BZxRI3HPDXh
LZZlV57th6eeSpMDKjmGw62K2Or/+9IuLg4wSCDdyKqkUX+VBv3gH4NhJ5vnfPMJKOynQTo5/7TY
1NvQ+/QvfjDZRJt496uJV32sAX/3Eq/VYENBW9mQARepqFoZ3MaXarB4RA1Wg9+tvAJgwei+87/F
QalLgigG5VVWQUd8qQbLIhhcFT1ficcZhvyPvEQk5etq8MBLV2VRogYKcYyy2H41mKVNRQ4sOvC5
m6pLTq1raebMaHsgyIGGnemPPbzEi0vlBrV31EGQjS8yb+ZFdzbW1R4vjlmr4Gijz5YNY9dFfQ6U
ozCjFz+vSTTsAu8987Frwafjx43Q8l3VfJa9cip04D/E/mooMjVyh/ZMPlOEY8TVc0jJC4CeNaH4
M6o2MBRXHTCWuDlNcjyu9RcqK7hDEbcKxAw69GsgQhaKE3UUTzooz6HbzSMdkS69rQDUYAAgzEXd
z2c4YzjjpArPWizSLPLcuHkUrfimKMWLaLCn8hzDHGkKnlCFgRN6/FSG57qJXUIF1Yb2LQBPB/4c
TVGUURpDXkNyvHJCuLdKzm4gLwQ1OkZGKYT0slJayR8XaXpeVDmHqENNWxCmui+ugfihN+P79L8T
mq8w7+JMfRDZVviapjXmczAURr7dzNQi4OzvxjnGCL6eY1pVnCpeuS51BdVX5Skw9HWbcK9N1+H4
Jsm3rdfdJOyeFGunjgppleIdDs+6gUk2wAyYv97aiVIOSDKRkWp6Z1nRIC5/+uG1+U6nX/qmMTW8
d6IhioYkGaqh7xSAPgi6gaMu4Hnjqtj20Q31IERk1GLd1toC97mpJouU7wz9mFLLPEzP6Y/NwV2e
QHyuJihhoPBTDKU421oOJo6BIM68CpdpHwpcZStrpU5QdNauFFWjkesXk0zxTrL4RKzUeZ7GJ1I3
kwQTrBZVLq+/0KhMwZ5AN4l4hK8Qvu2LmmuXWvBAeD2zK22MoPjMwUEco6kxMChAFsokQdOUGvgE
3biJkwuLtBfXuZbPakVdd6K10jmNWlg9Vgvkzy2vfaRNWJLznrhB+qyjAobu5HGmY8mcQGMWEofj
yGhdVHXQderiWVp7KzM+NTLwTcidUWR9jMpuEYYi3lWDYqlQiOOg6ld9i6ObaW+6VJslmLdEDIjI
EC5j6J8A+1LvZNlBJu5azvPTHMoMSj3Xcfu597X2JJU7mhjwRB4yWwE44ULN8pWpm0pzKqIQbXQV
2WNrkSn5MxkfzMyoO3cQwUWvJ9GQAVeqkwwqXKr3n3++TOShPfmxfTmsEmjVighxUhStHV7kwyrp
E2JFoIfYBSTB1hGqO5vps3Ppc5a7477O6b/nl6SvZ31VnztFvvSxkKYgPJIovKAEZ4AvtfwJlTn0
36xzV47Yu8rLAu0HKDHB2nfrl1SL/2R1U3376r5RPoRrILKBc8BgFfWVt2VBepQSG9nTzMiNEYoZ
oJu5YQ0EX0WIR44MYdU155ByUDfTFwIAvFGGkbVszNo0nmdu2HHYYziYZzAVUoSpTyScHBNAZpTc
5JGsk6179RUb61wJ27XnV1epIN30ANKjXH6G0X8VqcWIuK4kmEQABuQIF9bLZEoVna2xll/w88Z+
piyFFQR8yiA9pPIwbS7dul43ZnWS6sS2nh6furXt06ywPqPKJI2UoL7WpfC8DlUAGlr6AhvLnWpK
et2UwovlKpiie/oL3fqrQvfvEWGa53UB4EN6SUNv7lI0sGLuwMmWJMKjHh0H2Mu3TYTNnkmh0sgf
G0SzOhCjSdRMkeh3xAZhc3fskV/HKdxFEEKq3SJTXJ6Cx1oXJadHKsqwjpAMk6CauhW1WmosGSAH
PVbv+yC7cbz2vALFN6krQKpCucBzbpw54kLD1Upzm4UIzBixwydbTK9CJJUqGbo1MKHc1ya6b66d
WFwi1LpuVMCEoXkVSXI9qiJ9UonW1IJn4cE4dlxxxle/EqVw2tQNp4x3B7JwgffbtDQgxHbIla1K
u58iaT6DZT4ODarcxb3fXwGlGVMrn7jViZUGS6rWdzlTOO8wPYcrh1QAWDEz6KduQ5EfiMEL5teD
zNkaQbEJnNKHDGOhEZzTeCGjuTvuFcCUvm6Ud35kXCQ0nXCvztADaBqsQmuQ1v5TFqrgnMlnzGhp
C9adWqCGJCTPpoNFORSXUZLYq5jXEIm9ZF1mwQLG7sxP0itS3MvA8U9UGe8RcECjjPoXSD2J/y8n
BO0z8C4T2yliTqZ7X26wAWkXUeVadK08ONslIa8b3zuFtmpz5TZE0XCk6fdan123UVVOWdXLzDZe
YEWe2JVLHgYmjc6yc9JBE0VJmF5j7pjhVFP7FWiKEeT0c6BV+dzIxY2KAtsUFZbLROk2QUZfE9T3
vRiiwUtOkoyxKl3nanlT9+ZxjecjGiPeVAiWAchyKEZ4JEktsGL/GubofSVXJyJeyFHbg3uKAeGH
ykJo2kkrimu8xyYA2W+pQ47MHEFN1brUK+HUCR5Id0bA0cYW7Oui9i4w7Zp2rHbVT196DxUJZqxt
rau2G+p2WLCX4MKk7NIWHuuAEkEvfm6RTnbkdiZV1pNP/Z+6X01fVbu0rW1kcGRYU1U4y82zlBqc
ch5Xl1SU1zmSa5WCOIFyWXdIxvjmTdQW44CoIwHIGusK5d52IvvbwEOrvDGRe7s3rOtGg/vYorEd
Up9wJ5L8UDlXhgNG0cwxv7wYtEqcormkPcxyEWjSQ2j00pHbr0QbjHgHrZszytPVJRB4jbQby/VB
7YDz4VxqnqgzU95Q7kvUePSO9zqQ701rTXsTguOFOLBx2SvvMlsO8ILXJo732EA9iqqX1k/GUWo9
tooSzqy6eMThZuHlziLwJGzKfRQQLRfP+cTCSCLAhMtqJnKH46eVYM1LL3wElhDzKSe69TqE5Fu5
U5+FXJboVMMTUAxz1qBhjJjMtetkxqT3pWsrEB6SrrtLgv56cPfq7RKDJNTyxwr2YEunDMIpvYKY
NlpcTeomfkqqfm72xqIEmYViAOJ3QK2Jq9or2kAIzYs4iqIhEQH2K1EgqWiK641NT5fOYa8bj1Fd
H8OW2eJte400TjrOfBlIA9LYSUFogsRKMLUN+qYy0jJ+XV6HSk9oR3WjV1doLL8EYjj2pblT6sf0
sidSkp8GTcruCxg90846vNPB8soT1VacGWRyAFtg4ybwOjx0gnKBOrlVTvE97kb/7fa2HKJlhxu1
Zq0DGgAjIrBrT4zu4WTS6kzoBDmFfam40jFz401tC4txObU7VPXQpDRinKZEFO2oZehXvyofPQBE
9AFv9A2KCDgS6CRnmwzon3XixeV18vf+6OcD7cGSWDBxOYCccPmOPyaWu5h6L1fd3dIOEvWzEcIN
3pbV8/aPf8h4WWoyCldDcDV8yD8RzXfefm1YR/CWkSBTtNdfv6qefZihH83Bzx/vW7zWt+PsPcDm
OULF0SvK3HsqP06BYsnc8l+Zg6+G+DAHaFiT2WqSprw+JAWAD3Ng8mvR0smpXy/0Gz28JFK2wJbp
0AkwjzAMhaMAa3f32Z8AcGkQZ1X6vxIwMz6Az5jw32geDEuEuXvoNEjasNhlVhQCervP3jow1CMR
6Kely/Lrb6mV/F7TQPlmAAYe9jJYmHOZEuri+w+vHynYeKmiar4ukd9yDcjKwXuBjJ499HWKa/vP
Lx1hUoM2PgvgfW38Zl/+Gx2f+z5sAShHOpxkvNTQexw+lPz2d0MNbUkFvN7rr8nXf7eJAKF/4CRI
eCFIiBmo1D6/tyPqRwMalwPjbY5eccG/0Y5IuXbwyTtoJUjikQoG2DAMRvqwBAwdzVJeBBVLnt3n
tzsXgQbIh26EknUE1hqLbwpQP1gCIvAaSvevn9/vNNgFB8rB+4F2hK0Hb7zxttb3N0YszyEVIM+B
oePr53fbDxTaIV/rm/wgTP5xiDi4WSpsi9LrWhD3IyS0esHdE0i/75m/3X6gcOuvK/Sr9OXbXOHH
k4ChCwuBNhXb64f9wDSOaLHrFp7z//Gr8Be2zC8pF2KA4fMu2fK2xQfax5/+wXsu8u0AbznG8vmP
fwy51N4fDpSQ16G3X6R0/rk3ObsQ+MMv30Pi3XXe/v3tAb+99N613p/q/YcLb5tv8icXu1Iyte7t
Ns82ESkbrUaXFuQ63zxvC/djLoTiDi/nv2/oj3/s3e6H4+Cn4+dVvHlyN+H3LgFf5Vdcoig20fud
DpMvS0Nd/9A7B+awyd+HGYZ9TQ4PHXaxybuvWT2vkfbBI3vRD2daUkWFjObQSxxvELX+9F+bKP2f
Tycb6N/e3gwRwlhsVode5WSTxxREgs37ULs3St8FYgePzasQfjXwLrg5dODVJijczXOz3aZ7t21g
cfX+g+/ywr5EVT97jU43z273/dd0sNA6/ALnzx63/z7O7i2i0/QLvsx19Vw9uds87/YG1xWJU+/Q
SV9Xsb95fB9nd9eQYn/BXV9u/E1RIlK2NzbQil8w9pUXBN7ehkU7UvsF3+H1JvJCkCTP1ce7JrnS
OawPneqdbtv3NvG3iOjQ8e+2RflptIXyGL7f7G7TfQ01Dh39dMNmzoZV5ntr/C20P3T0eeUz+l4l
cSgi7QoIB4+d7N3xl+LUoeNy8H9BGJ15T8kj8KNlMbi3Fx/nn7xUkn7Fqv/XzwIBSo+itMNsHPpY
p16f5PvhwDA4hnGkcIcOfp0Ptod738fb4L/g7f0+Fuz9pndH4PAgZE7vP/v7x8mANhu+6veR3kan
/Iuv4sHT9HN7yC/h798LKE+3DtHkpvv6Wxju/RcEk5Nt6HrvU/DvaRmq4oeunh8i+lhDQ+FdOvwS
40FW0/vGJ+Z1/F+wbv6KE82B3+9f0Ac98ArHHAU/1B/9BUvoT5n7B97/avOMfur7YhnW6CDLIMr0
lWRaDoA4FeX/bD/6O9jUnz7v91LaL+2gbxPd917f9/5tP4sf/uIp3G7yf/4vAAAA//8=</cx:binary>
              </cx:geoCache>
            </cx:geography>
          </cx:layoutPr>
          <cx:valueColorPositions count="3"/>
        </cx:series>
      </cx:plotAreaRegion>
    </cx:plotArea>
    <cx:legend pos="r" align="ctr" overlay="1"/>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Orders By State</cx:v>
        </cx:txData>
      </cx:tx>
      <cx:txPr>
        <a:bodyPr spcFirstLastPara="1" vertOverflow="ellipsis" horzOverflow="overflow" wrap="square" lIns="0" tIns="0" rIns="0" bIns="0" anchor="ctr" anchorCtr="1"/>
        <a:lstStyle/>
        <a:p>
          <a:pPr algn="ctr" rtl="0">
            <a:defRPr lang="en-US" sz="1600" b="1" i="0" u="none" strike="noStrike" kern="1200" baseline="0">
              <a:solidFill>
                <a:schemeClr val="tx1"/>
              </a:solidFill>
              <a:latin typeface="+mn-lt"/>
              <a:ea typeface="+mn-ea"/>
              <a:cs typeface="+mn-cs"/>
            </a:defRPr>
          </a:pPr>
          <a:r>
            <a:rPr lang="en-US" sz="1600" b="1" i="0" u="none" strike="noStrike" kern="1200" baseline="0">
              <a:solidFill>
                <a:schemeClr val="tx1"/>
              </a:solidFill>
              <a:latin typeface="+mn-lt"/>
              <a:ea typeface="+mn-ea"/>
              <a:cs typeface="+mn-cs"/>
            </a:rPr>
            <a:t>Total Orders By State</a:t>
          </a:r>
        </a:p>
      </cx:txPr>
    </cx:title>
    <cx:plotArea>
      <cx:plotAreaRegion>
        <cx:series layoutId="regionMap" uniqueId="{D4F8E837-F6C5-4D3C-9353-E3C4FFEA667C}">
          <cx:dataLabels>
            <cx:txPr>
              <a:bodyPr vertOverflow="overflow" horzOverflow="overflow" wrap="square" lIns="0" tIns="0" rIns="0" bIns="0"/>
              <a:lstStyle/>
              <a:p>
                <a:pPr algn="ctr" rtl="0">
                  <a:defRPr lang="en-US" sz="1100" b="1" i="0" u="none" strike="noStrike" kern="1200" baseline="0">
                    <a:solidFill>
                      <a:schemeClr val="tx1"/>
                    </a:solidFill>
                    <a:latin typeface="+mn-lt"/>
                    <a:ea typeface="+mn-ea"/>
                    <a:cs typeface="+mn-cs"/>
                  </a:defRPr>
                </a:pPr>
                <a:endParaRPr lang="en-US" sz="1100" b="1" i="0" u="none" strike="noStrike" kern="1200" baseline="0">
                  <a:solidFill>
                    <a:schemeClr val="tx1"/>
                  </a:solidFill>
                  <a:latin typeface="+mn-lt"/>
                  <a:ea typeface="+mn-ea"/>
                  <a:cs typeface="+mn-cs"/>
                </a:endParaRPr>
              </a:p>
            </cx:txPr>
            <cx:visibility seriesName="0" categoryName="0" value="1"/>
          </cx:dataLabels>
          <cx:dataId val="0"/>
          <cx:layoutPr>
            <cx:regionLabelLayout val="none"/>
            <cx:geography cultureLanguage="en-US" cultureRegion="US" attribution="Powered by Bing">
              <cx:geoCache provider="{E9337A44-BEBE-4D9F-B70C-5C5E7DAFC167}">
                <cx:binary>1H1Zc922su5fSfn5UsEMcNfOqTpci6IkD/GUOM4LS7FlEpwJEJx+/e3lISVhS1YOTm7VjV9S0dIC
m934uhuNr1v//rD+60Nzc21+WNums//6sP70pJym4V8//mg/lDfttT1r9QfT2/7TdPahb3/sP33S
H25+/GiuF90VPxKE2Y8fymsz3axP/uvfsFpx0z/rP1xPuu9euRuzvb6xrpnsdz6796Mfrj+2ujtq
Oxn9YcI/PXl6bbrr6bq+fvLDTTfpaXu7DTc/Pbnza09++NFf7D8e/EMDsk3uI3wXszOJESOMEfT5
H37yQ9N3xdePpTjDQsaYUxp//ke/PfrFdQtf/0sSfZbn+uNHc2MtvNPn/9756p0XgE/++8kPH3rX
TSfNFaDEn55cdh81vLW2/eHLB4f+JP3li8+v++Ndnf/Xv70fgAK8n9wyi6+txz76D6skGmz/TS3/
e4sQfgYaVxx0fp9FFHyMYiFYTL4984spHhXjfjN8/ZpnguT1P8oEz2+K8rq53v5GYIAZOOUMU/l1
58d3gBHjMyKlUBKJL8CAj79g8os1/pJE91vk1lc9qzx/9o+ySuaqa3M9fVPM3wANciZiIgQmd40h
8RmPJaKK3G+MvyDI/ab484ueIbKrf5Qhnl+Dh7q25WT+RoDg+IxxghTl8X1+6hQ5kIopYV/xwb/t
g68A+Wsy3W+XOy/k2eb5xT/KNsebptTfVPM3QESdCQbBGglxr1XkGcacSQgvX8wivj36i1UeleZ+
e3z9mmeJ4z/LXT29MRBDvunjf28KjM4Yi5WUkt0JHYAMhsBVMfzVRF4gf1yO+43w7XueFZ7+s6yQ
9X+nCfgZFZTQmKg/o/Tt7JadIQ4xQxDy5WPPRz0iy/1m+PwlzwbZf/+jfNLFtdmuu7/RDiQ+w7HC
MQMF39a/OKMMEYaY+uKsPG/0F+S43wZ/ftGzw8U/K629grBdl9fdx7/PKRF6JvgpgVJf01p1xyJw
uuDgmCgRXwEDrut2WvuXJLrfJre+6lnl6p8VsX+ZJqgVvDTXH29s+U09//twQcRZTCjYBn/BAsJ3
LYPAMoJy8s1w3kn8L0t1v3W8r3sW+uXlP8p/vbux0w/JTVdcN3+jfeiZgvMgR1LeNYw8iyUEEfbt
nOgFkb8ozP1mufNlzyjvkv+vjXJ/Bed23erOb/wP61aEnAEWOCLqa90KkqjbkSU+BX4BZ0L+BU1g
s9t+7Gs96WFp7jfH16/dEfz/cXHq4cLVn2W9I9QE08/1wFu1q+9/+vn1oEzpffWrjr44sztv+U19
lx+hZojB9/xZZTwt8bBu//z9m2s7/fQklmcMY0k5p0xAmUvAQX4BtP70RChIEeBUohCcJ8GoFNxf
15up/OkJhaCEcCyQ5AAyxk8f2d6dPhJnUiD4oZJEQj4dQ1Hs26u97Jut6Ls/9fD1/3/oXPuy191k
f3oCwW348lsnMSOCmWTyVHaDn3+4fg3FXfgl/H9svuZ9rWNxUeJjzH+2Mxz//3z/v7wu5Jh3142J
noVtVplOvGzKZN+37V1JxPqlqvmlqPk/WB5C+W2xKxnV27J2Mi3NaMzrReyoeFuse//p++JDFnaP
WkgMGLq9ftzutXJ1LtKYcLu/GnAbo6SkFccJYqglCaPjlJ9//2H324DEJyFu20AgUS1FJ9LVUkUT
hWhhkn4T6vfvr38S+j9tTGLw0rfXl/GIhireROrwwJ5jvLD2zYIqJJ5taurWLJK7MEm7jQPkkCHG
P73orRcaFBpmeXrg3MRyvepLl7sDs67U6fcfcNpF970RgPL2A5TeFzQ5ytOltnK5EhvNyWGoLSmf
8bqsyHPsalcfRjt2m0xQw/B4jrpyNpCOfe8F8Qke9wkALvi2AINsbc3txlNXFPN4UERlkuJPQ03H
pU7GYpnbxG0yetYvBa5TR/pedUlUKNLCmfV7Ijy0acAx3JagKbZ2bvgCKlCEH6jpP0m+6Efe76HF
Pa/QA1IXtU083TYrf0P91if57Kqfg0RXnm9oVKWFpYanNdX6BsHt07Mu0rU7hC3v+YY+Wvgwlpyn
zSTnX/EysmTNdxnmeZTnGUyzVMNARp5OfbTvKVqj2RzF0PcyUHzPG5C1wGprKvAGPXPVYRNiZck4
ApSO39fPA75NeuBp43nhlStk1jZ2zF/Lth3dr3TcY3Q1RWUsX0FsoeLy+w97YCcpz/eQaou63g5R
1vWbFC+thlLtr+00RZ/C1j8995arsQo5tKxcZXuP23QrWGSSVdfWPGKNk5z3AF15yor7mjWObHnW
R2pvzxeDhzltlg3r46hLFgc+xvMnlPW5WoZIZtPkyHTRib5D6d7hZk0HPS1rGK6V5zTGfh5zurYq
G0i9v63NVv7cSRG//b4tHtKV5zWWelV4gRwnI9Gq08YaSZ8VbOvHdzVX9fqIqh7YUdLzHqUqhlrJ
QWWmYdtl1O7o57jApkm+/xIPLe97j1xvCJQjMidHsiaoWtl7sffDI5HroeU99+Fm2UsFFexsbsAC
U1O0KXORHAKl95yH07Tbmq1SGbNzDTbY1BolFm16D3yAh+c6jvgYr6D9GLdjdzlg3i2pqeS+vAzT
/0lxtwAtyUYtjlaRxbbUv0pl7ctVF+MWKD/xlt8MXCAgLrOBsklfTDtd46Ss2wWFQUx6EFv1NoqJ
GJnVthjYpW3JrJLKMfNYbD5txHs8kvRQthVVgdoFTDzm22COVUGlfNlG+yyuiilv63QtyNb91rSK
/u66Yuke8eQP5Tyn88ttyzRrkct+X8AVNqoZrsrI5hIy+zqGtE5NS8WmpJuqfT7oUgzteb3uhTwK
ttD+zYwm4cIULDyAbrmIpKqjPGtl5I5ULzJTsqGP7A98stM96hUeQPk8rXokY5xRtJs+3XE+TynP
9725GGIqt58L2/afhogt7QXbVcdfrJSS7jmRSlW/qZpw/ogoD7gK7iGBDjMfpnrbsykn7LBQaRPb
Yh3mRrkX2FRHdjXLcc+iiZSHmro5EbVkYbILzw+pruJDv2iWDTK39CD2+GZY12UME154XqgxVOBt
rWRmomHJigmzJimoKj4G+SDhad5hI1RVFSwrhlW95xCZX1gUtWEhQHiaH2nRVVEk44w3cAo7OKza
PXHabPYRhDzgIYTn46weN05Wo7JpW3JyqZgx6I91wOAtSlKiPum0G9qE7GIoPgztbkmgWTzfR5eu
AQAYkQmVty4ZRmLbZHMsCow+wvN9O9vr0QkjUzdynIptLo676KNjkNm55+BEHqOuGtc9s66Ysr2T
VSLMUD3iP0+b5x7Hwj2/JTAqoxXS7Kwiuj2QCVfHfOtJ2KbintuCE1uvsO73jMCZN0ElftcV7LEk
+CHRPTRjMXRsbYo9K+Q2PXdbhyC1GEtche0b7sG5rNw0UAOeLsrb+JLMa33MqWJZmFk9OFQoMmjJ
7Z6NWDfnNu6Kw8zZfv791U8y3mdWb893OS/3HUdLtkT8Bo6d9XzOpnrosmmRIsybcm/b01nOXVXn
S0Zh87+Op75KMevrsOM487b91EEqtOxiyXrGxaWKuTtWWxcIWeZtezy1Ta72ymWFbdhT3bTy+bA2
gaJ7ux4CdV7XmE7Z2Fc5PhhO7EGWa12GeQTmbXyeF7aOdijzDJ1er+qpmJ65PG/CNubphvh2QgX1
0WjGrprOjSsW+4YuSDU/c6NEGbZv2AnPt3LpGut5LGayQkro9kM98PdbvHWPbPwHnALzwhivopop
lc/p2JQ4odaRZIxjFyi6B1o6VIzklZpB89F7QyC/6+I1DzSrh9l62E0UWfFVdEZGkvBZhIruo5Wr
3KkSz2m8QNGYnFa3wYqhHlprNA95Y2H1tYrLg1O1S4QgVZjaqYfWknHVI4JgdUZuRs2a80IXgZUt
6qG1Bg660gUsHu+uzRoZGzh5iTUsvlIPq+tEZd5s9ZzyKV+SFc8kwUM+hYUo6mG1LQfS9RS5tJv3
LllKfeOqHQdq3cOp3c009OXi0rYuWSIYfx/NlgQu7uEU5dzQrYymVI6oO9pVX1u328DFyV0PM9p4
rSCbdGkl4jIRlW4SZ4gMXN3DqaRVVOgoBtFjh59buB55mcuiCbuioh5OV8dIx2DlbMfQAZHsnRL8
GE2RsmF75sTcve1+ybjGrRuKOdtY25kkogPPhoVMH76feTzggImHVaxzYvq1hcia2+Yqriw+2rra
0rDVPbA6kw+02LjLppj+jivyyjL6KmxpH6l2q9pti6ZMl9ELcI/vNyIDy3fEw2msdStxJ6esWkp1
dCV/29d5H2hQD6ddbSMTK+eySE/60FTymSQjCtvsxMMpXAsvg11VlHbN+lFv+B3h7dMwhXsoVXop
IojXWwbL2inZiS1FsllahLle4uF0Lrgra2amDKiG6Dc2gR9IrN5xWKZBPKC6sSGoyXuXtb3Zj/0q
/yj1kIepHXsgzZUe5ayNy/hmtkPbDiB6/djN6wMQxR5E404wPUTtlMFtf/xc2QI/b6J8eBdkVuxB
lExkMtA/BduxzMuEtstvUukwk2IPozvr4yova5cZPtMEq/V9M6qXYXJ7GGULWxdNYe2osm+Z255z
Zp+HLe0htF/yvJhoMaUoj6JDVOXP9I4Cz9gnKshtf47xMMg9IlEKXUo/t5t8r8zWhLkW7EE0KiFP
Nz3opCm7V33Rn+dtGebJP1c6b50C2LBsdIWaetrv84VZyFPGwyLo50rxrZWHjU+iH+BsJ9rimerX
rDN52DUr8mCpm2ktnQOhh/aXfXaHSv4atEOQB8kmrsyw12BEVtZ/mDV+pXYR5qeQh0c3zvW6LWLK
Nlvht/s2kaxy1B7DBPcQSbt87SodT5mNgEpAuvoizuPfwtb2EFk32nLolYxSriG7jZC4ZjENDGzI
wyRs7HFsEITkUos14ZZFxziWcxhwkAdKZWc5MT5H6SjemP6ooBIcphMPkWVRjmwstylzCsgcC7VD
gkfxNmxxL2IucP++bV1uU1wOF0sDd/sjrabAneLFS+McqqMGFlcNf0nd8EGzzQRpBTpp7vpAoKht
aFSxTU1LX3JYe3Vz6NoeNPGiJaUrhtIroeiZU0V1NbJVBGkF+5Su0rK5gXwWNgrfRbKj6pdGlEEJ
FvD17mpljR1b6hiQv9Jtqg6I5aI/EsiAdJBrAbbg3QcMS8tyuO+YsoIN19Eyv4MC/i8hWxEaFe4u
PVOKjKCgF+cKfhxdrRPoNpRBeQSOPXiacpZQ011B8HV96Xp0tc5jGELxqSv4djyuWomYLKnNVE2f
N0A4TKEjiQRq3EOoKwxwLt08ZWhoXrGoOVSmDEpScOzjk0fdVtDWZoRwclhabA6YVZ+CzOmTqzao
ylvVThYIBuJ9YdcrLfmbsKU9fK5mymtFIpNtuFmSppfjeddWYcwI7BOrer508Qz0nQyuYfZjt/cv
JLVh1/5YeQB1A7F1iReT9UB/aRLrTPQ0mtH2OkwzHjyXiIJXZA4sOm8fLWRwq1V/hC3twXOCwFMO
ordZLYrX6zBcorYN24c+t2nOVS2qhplsn8cynZeCHKOm+xAmtwdOvbPcmrW2WVwOh5ptL1r1WNp5
0up/Xrlgn8W0RFAPngdpsrKduUuMFNXzUQxrslTEbYcw+T2Q8rpbu7rnJms0/b0p2btoqN8GLe0z
mFZgPDZC5gbwP9uL2Rqc4JmFXXdh6aG0ICXXhhIQnOF37Rx1CYuGX8Mk9zLcch2H2qDSZpxotqQ7
dRtLOtWUdViQlh5OWVkUyqkGtuQavdIteavHsLM4lh5GG81HODDD0vkWv5qQ/jmnIugaCp+aXm8H
okZteTvOm8lo3pIsUmR6hYtFBzF9oYPg7upEzojPGnZijvYt2cyYURZIGMPSg2m75tG02tJk3Tyg
BM3yfFyKsOow9rlQk2HOsRhUDu7x6byRpw1fAzHkwTNeisZVY2EymRddIvftaWx02L0ZxPm7Go9h
l6CV1CbD/fyS4vGZQVOY3D57yWi4nRBLNGZWqHcam1dNPQYd4mB2zV2p85W1dTFUJhOgmSQGEnoy
bq0K84c+o2ei1RhVfTzCvU05HgypX7koDktBfToPQnDO6jgas0LTtkoWKFSkDkUiUDEePKsqBlZa
tQFu4q09KCfE60ajPdCiHjznioscuHZjtseGHLBlLyCSht2eY5/K46JO9XztYbv0MUM1+NqttmWi
4rkOquFg7uW5sm4JEBbNkEk2vdGFfbXU05ugaOHTFop8W2jTFGMmu/j3rl9wUjL2GFHvZLx7kgDh
yQ20YhQXawd7pigXeeig6JflORvD7j9gXsFdNG21c8q0+ZCpyNbjYV6G9pOL5RJ42PXJRrgliC1x
NGSm3OyxLUSVgGX5eZjqvSRAynVVaEZD5hpBDkgAH57CqT0JW93zNFMD7DtLuyGzTBZTgndSX9fb
2hWB63tZwKqNMMsKuunLqk/01P6yNjgsVvtco4b0SxtJB3rv1HCxWWTPl6YvL8I047mamc50G5pl
yKqc7+9QnxcXMJFkqAMV4/kaCv6dkw3MGnf5aM+lU5QlPO/FGPgAcnfXwyVi3XfDDJqndrk0Rv1S
jk3YnQL2iUYjlMxV5Noho6ZSv0u4VLhwdTuHqd4nGk0oWred8j6DHR8nAqgvSbRFMg0yLPO2vNki
uKNvYHU+by7heLiqu8dYTJ+p2/f4Mp9mNOoVqL6K9Nks6iJP4La4AtBKvdaHoo2L+qIdtuWNa21z
SS2NRDaV5cjfQoubHF+ymFvzJpatuKjhXrK/qOqOiUQ2GorxxToqtCQ7q0bzyzKSyB3QNnb1dV+W
0XgQkFiSI+ZQa0/l4FZ3bDBUyQ4CbqnXSzdGqsqIXEt2mffVsh0wgmrCbxGwY7dzTCsrj1SusObS
6Gk/L8a4tNBtR3Z33hKy7kc7t7T7fZWM5S8nJqLqD4v5OGZqJ/GcmRXe9zhMO08rNHN16CTB9UFs
snAXBe6L+JlQHfSFoXEnb2DOyZLMRJjLQVuzZ6iP1Xa+tM3MjrNhBU9nuTAoYTflzA5FM7Q95LNx
vB2U0VQmba8Nfrp0eRVfNhRPLNtB28uB03q+3PeofWG6GbEjQ/O8J1Vu8v1Ng6tehmUhPrXGtMU8
z8PcZ7Uq3K9GjTvUUDs1hSHXJ9eMnZ6AnR/3WQy1vIST6lm5F2E9N9jn1iDQHGdq6LOtH/L22KOl
ytYR6cDk0mfX4E7jPaLVkImi5WtKbOf2REa8Ho9B8KWeX57accmjcuozuB/4tAzsikc2jIyOqeeU
B7eYedxkn5UoBvrOZOXaHGhckU9hsns+eebjTmdHhqwZ410lsh8pXG0qQsKuwLHPQ2xX5kTtaJ8J
XvZQj4wSUtA4bF/6HETK8g2OOM2QlaK9yVn9Jpc6DFE+A3GGO8K1ISA3d3lm4+Yq5zisbM08nfMZ
OFMYapsZdLavSR7FdRI3uA/UiZe7GlRQUcN1claQqkrWevwkKvM2aLcwL2+toPF67iTqM7e54QW0
DuqLnk5tWJD12Yel0Mh1RNisMDV7xuBkBX0dbnofJPtp2MHtOsoydA1GawEJAsydTZxcqlRrHZgg
+HyvQS55tRcQwuGOxhyAUSYOQ7SgLEh2n+y1IGiV5rrrodG1aa4EnfmUiNGIMI489tletuoKIDL1
sNk7J6/KjqLf4Uy7hZWCiZfeyLUd99ZC3gelrPUyZ7nLJJpkmPclXj5PaONiffIBlW6Lg13GInFT
24ahyad8YYNXt8I5OYu2jt6UwDa/2VvXhjE/MfFCBye0q8qqHjIu5Bxd1nGHDyhfFv7I3eEDfXXY
J35Bu2mei0Z12d5gat4OtZ77Qy47MhwX20dvoeHsRRTFTXWELK6OD0UMh7rzMuK8D7M+9l5xkTCI
uGtNl2mzRn+01UI/mAjAF4YMz5dCF7BAroLsdtnGUh2itoLxFm3ZDU3YYdennwlEdyhinAJwPuH8
aasL6Azbxm1Ch7A38HzqjpyBflrSZZRiXSfrUi0sqWo2BwZJn4Qm7A7aJ/CAzREgRe/uHfQGfAgS
3uegNVO7TbHbu2wwnT2sBf20TzxUcM9vFOOOra1lm0HmfN6Q+ooQG3ZQ9xlobRShYoH5JNnEZnuo
IwYXGcv+Okwp3mXAVDamwMvcZbkzKnUlKZKW68CM0CeK2Yp1Petwm0HS/0LO+9NmLB6Z5XKC5D1H
RZ8nVqxwzyhM32V2JeUVboxKYIz4EhbEfKrYUgut5pq2Ga1VXySVUuNVKV1XhgHJJ4yxeO2p6FCb
Sd5VhzFWFzXDW1gc8CljZuiKIo91l8WsXJ5Z07KDnKr51fd3zGln3KN4nzcWL/U2Lxjie7OzERIr
ZIs4bRDu+1RA7tyFJfs+h0xtIleCFn2GHJ2GpORTddr8KO7DYjHyYnEbaTvOsYa9yckbN6HXBc7D
HD3yQAXDJSaFDMgOVSp+1AZK+bvDXaB5vSDVwWaMamAFplia/PW8RcObruRh3UzYp5E1usMOEduc
vKR6NbSUZ5PmKlDpXggcoLqA8rZr4DIcqhL9qF5FrNCBivGyZrdN3eY23QBDAEY4HaD5cHy/N3E/
B67vRT8YSJPnw2SabDfyD6gdPW9l+e77oLrfmyGfTcZmBLfV0CEIjZ99XiWjdfPNQsewaRgoVnfP
ExrqCF2Zn9Q+qBwKjlZdtoK7oO2OfEJZTyq37gaEz4sSyk6YDAlMOQmLIfBnD+7KHotdbtxC/Q0v
E96OnQY+wqHqumoOOuIin1Km5iUfILNtMlyK7agKhF720M/3OsyyHlo3oaGOsIzRscDF2l9VCKMX
hAzcPSL959LQf/pj5BPLYBI4WYVwsHWE4+3PI8adu9D1PJpzOIg5cs5jJuxx5M3aP4s2OBU8G2Q1
tu8JpuzcCbJfShZtPIn33MGEgi2q65/bjq/k0I7jpg97Ueb7H32+aXfeDRBzD45X6wfaMvZ0Hqrp
atPlfE5zt8ASMAOjTFCr2f62xNDf8qo+zal422k12CMc2NgOn5rlUCJgfr6ohjLaj/DbVj+nJO/n
oFQP+YQ44DWO5NSQnBY5rl7McR0/I5oUYQEWxZ6j6aOa91AdrTOyohtBxlcxLl6GbRfPx8BZc2sj
sdQZ3YFn2xB2SXr72CCNE2Tu2So+Jc65qC12u9bZOMCsjktj92Y5xhuwHo4L5PDFJYzJbsqgGgZS
ns/BYwxThmdeZ9EQiZTVS3O+D03xS5CefJJcueUOzoi0zuaelcco399NFXlMT6c4fZ+ePJeDUaFd
bVydicbpN8CqZj+rsliv1wpHj9SPHnrE6ee3OgZQHsuCDGOd2pXW4lhOoxl1Mhsotl/qBTraHjlU
P2Ryz/0APaFws2iKFP7aT12fO75iYIdFTarbXZEDMLrDqkrwNyHuvlFRQu0kNw0orSMREN3EO3BE
gQFMeXlDBEM7oBDQ1RmGG/SJLucTxY846Ics4YFZUuBy7tCDe6yLUU6XcWP5ea9iuD8XxdygIHYB
Uh6uOawttJYRjLqAQYLQ6178Fo8yrLUV+UQ6u8Wj1pupMin5dA6ca5XkJQ47rCCfSDdrKEVSh8tM
M8XOh3lrjyrWQee4z4OV7wBBDLhpZJMf8ayvUE4T1oswnfscuo2ixvYTLL3vLM3j8bzVJOh8CENp
7272DQahaRvX+bHW5Knk0dNRhFXxkM+hA1ohKEno/DhUy3hVWTtlEadvgtymT6HLuSznjUaw2XFh
02EwLNnihp2Hre6hFMW1yTmKdCa1HZ4C6/XdWGxhw2GRz6ErhCyimTidNRtpzl08dRdobMKoqMgf
JhZtK1zstUZnuqrG41CqZ5E0Ng3Si0+jWys0Okv7+Di1TK/nhCy/DKauw8p+yKfSlX08jQ3r4mM3
jy/qps8q04cFcZ9Kt5XrWrQFJFLN5HTSuQ4d9oY/4nkfOPT4TLoZ2Pk7dPgBiOzcJ8AaOwwCJgqH
6dxD6A4Dw+w8DRq6ltrt0BVDPya56eIwQhryR2PF7QY9FzWPodGq30mimtw87ddah/VBIn84lhNd
3smRxsd22eFm7BWwAB7RzOdq9j3pjc+lY2KHVoyuKDO8RXR+inTLocGogFmeb2HaUJ9pHu80kePc
8lRAdW05jFPNZ5iQOYjtfHQxGtN9wAW5biUnc5YrqmVQBR75LLydl8s4udmmXSeaA8zChRkTLA+b
o4B8Il4TT3SnittUy9Wc83yCicVRHXZ9jHxaD10I3Zt6sild2hI4HNNbaNhcH7HaA2DxWT1uGWEI
j9xsukm8JzWqzUHWgd7PJ/Xw2omIjqD1vYUBEMu0fUKmDOtOQj5BcY1GDKNUptMJ2EzFpaZIubS0
te2OYVD3cqtO60koXMrjakoBMWerXHco4a9s0LDjpE9RNFPt9jkfXOr6ckhbxZbjELOg8j7yx6FB
Fs7pQFuX4tM4tIWP0HzPZBBlHsZ53s1TBjkzm0+w+OxgHHdj2Zj0DQmjPyLunZNY6WDAgetcSio8
HGiNqwSKTH8EWdXnJ/a1gj8YRPMpnUnZJiqKoCdvZSgsVfFnShZAH0YsolPaA1kq6WtTvGgknX4N
k907C7FlGCgW45RGMVw1sXovUr3xQMWQuzbVZsE93K1PKYwdJS+7dq3/EGiXYZmtT8GL9qEd84a6
tIDumWO8lOUBwBt2eY98hs0ObRC5niGxkgP5w7b0TVuSsPZq5BNsyhZKyv3AXKqRQck6kDzNc6DR
fd+kDxwTfY5Ng+uR1D1V5yJv+PyydK1uzzdBGnPOzABR8PuPecjNe8bNZ5ozXMFLwB8Bio4z4cWh
W10Y3wYx76w7lLmcJgGrF0WnjwrINoe43z6Gie654bqC4A18RpMO67AddDtWR9vmYV7S59vEA0NT
y7lJ59rN522pSAIDjPcwN+lTEreWCrGbxaRTuTfn2Na/7LjiYSb1CYl72bK9h1pPOqhSHtpmrQ5A
SQ2jzyOfkdjJTU5S5UMatZE5VPvQJXTYwiY3wV/SuetrcsYagysxpHoay8PO2+agYHJ9WOD2yYgO
b1ByNoU6r6puf7ujYf21Qt1jo+QfgJJPR8zpsmAHZOX/S92XLEeOY1v+yrPcMx8JElPbq1qQdJe7
awpFKMYNLUaOIEEAJAh+fR+vzH5dKaus7A7rTVvmRiHJRaeDwL3nnuFATQI9yvV00iT5K4zwz179
xYOKhBvA1UHKYxYBOl+jr9MwPv/Ug/SS/dUnJKmQn8GP8PmqhnzdQZN1zWY//NzLv3hOk2FKpz02
8ki1GkFz7DbW3LFkGMXPPasvGWDaigUln5ZHaZO8k+QyxD95bL8kf8GIa3aB4KVVhmL1ylgYf44Z
G79kfiGfoa0aPsvjfrU+6n2SFVkjfP5TN/0l86uLh8btYcpKuHCdRqNfxezn3ATjl7QvdDloapTK
Sgb6QzdGd9nYPv3cVV8X/z+h1BQ2Qo1Jx6wkbFHJTaYH6K4br5a3P/f6L+qkUSdzNywTP2ZTssFC
PbPZ5SrV+ys/wWuZ+y86XfLiIW2jXmfCV+yodGRPrlpX9WB5XNcH6FR5da7V7pt7t1d/2Vz/ybbw
0qKLhWxUCKQaDrH80GXPbP25evUlMYoO6bpZi9dN29cCrKWW/iTQ8JIWNYE5LKuW8yMbt3g9arnG
99bI/q9MuP+E1he/dOcCIZ84PLf8CGFKnc/N1Lpb5aMJfFxr9HzjydpBPI10JvJqs8SNBUxPo7iY
om36KyvS5Lcgr3+1Fl7UPjyQaly7eUDruflxK5KhHYg+9D02w+HYVFs/5POkkCKUj+mMkmvrghn5
eRo0a9QReEfXq3zY+zWcmypE1ec09WBDjjEo732edmH3Pkftqee7niVC36+28gk7b1HG5z43+1BH
bR6nsk3r3DiuUZ9ODE9UTuU81Z+1adSS5FnPW3VO9x5O1mUAzsLrMsyrN0Uf0m57A2c/v7Y57ZG8
BAfz0G52zBO5RCzLZYBjf39KdM+QSKAAJTuVQ+4xLLhAy6fxrSYKzUjHO/FDaYV/NsucrSWDHCDN
F9yhvlhXT9qbPSwbwrD6OLXj5wlYOl/yzSRx4nMqWN18HNusl19VvSB/CfrafTIqhwlbFz5c2Y0n
vauw5SO8vGzhfWuTvuTQs1aHHZM0cohItdmiEtgAZLEyH6gqybrT+DYRK5PHli67guxtnsIJ4Q1j
wZle2X0XL60o4zb1adFwNqM4FkqUQsGXON/mms0jaLXd1NSlk+jZeQHgaqsnXNk8Gp4LwjjkPGt7
U2Uc1Ty2eKaWCz6tqWlzI1Bw5zKJBlUuaiSfZqdY6cO+8a9Lu4f0qM1E+4fdEMHeNTPh/CF1VZre
7VUjlrocdkiHsqP0SwKjip3xZbiHcEbg89Jtq3FxdbzLejnGMJtGkaziae9PgaWb/zIL1U51Ma3A
6M8cwjD5nGx8s6EYxgwBb7WIru6cwzKMPoK4aAeXDsZGfFmXQ8BnOU1nQoFvkjPrR9HkPevlkfXN
WExs88oAEQmRXa8F/2pv48X2B29wdDywqV66520j9SiwHCayHLuU2q2Y6iYjMO9twlACHGrER+HS
cbqV2w70rKHxspnca4cZSy4F5QSFrXNpmhaSpmn3lPTCsCN8b/rtdiQ+wbAhdrC82zH9d2sNFWwc
LHOgwDJ438XD8oUMEaRMZuWZfsOpSkTZVJZ2X9CSigEPjcqmtbQdnexDv8Q1ewZrblbHLnCot+QU
T/Sy04j0d0nj+/1bOw7TAiGTiabsYcZD2xxG3QRy1irp5vdNpERMcOr0NaM5V5nUD7FzffIl66pK
hLyqpapvvF9XeolNm00fOs8CLWDnH8MkoPZpIuG4TdnwtXK+7uu8n3vxhaZs1u8h+t+bAkM/lBQQ
OUzhHvRiK/DLU5R9nTqz7mdFdAjP/R4nSaEbPElfuwzL/FT3ZH9wMq6PMZlF9yjMwtkhFq1uXs99
s+2vPNQNJAJBAHYOorwaRLOz9W4cf/QYqDW3HZvTcDNN3VDdzEQm5naZEWFadFmakY+CkUx+S3xf
PUDZH10w3du/Qteh8s7Tuqzh2xSVW7sLf0G0x7qf4OmUfhhkm8lSDxByPvHQDONDUldtcvZTu4RD
NDfddpLBxOyGs62P38es6qvXzSxrXejgIlhVdrG0UJAohnzFdbfU3Nt4d/E51UwPb5GnUk2PC5W8
OcZNP/HSbd2KvdNTYZojaO2JuZ/lyr4OsGoYiwqwn39stthgK2mmzR8YnZypyxhDxPW27+A7fazq
RUNbEvG1fm6EldlZaa1Z7qrIsC9NIztd1KPtXZeLMaliREJl6Xa2g7KudJ7EUensSJJ8HHavP6ZO
4gpKGtcJXCY3XEUb1dbk3RbZ8TBenZJy+Azu/cPsoRc8UG38JxIHz5B6VyPBs0DKBbtHFVt/r/AI
86IbGqIKpjyd3ocZsZnwnVIKTnR52u97e/YOIuDngNhAU+XN7PiG/X7XfpryzqF68jkGEav96pc1
pe+QLmJwIPQwEZKvB7zK9YPUbjEHKhkG0IfRE0VzSFtHejPIRPaHda3TIeR14sR+6zdbA/rdEPgl
T3EVULpDYNg0Z4vwuyjfTdtGbxjtDSmbjC1RaeM1kSUP+969M/GedqfV7V7eLGqKqnL2pAp3KTLV
XsWJ7do3gN9J6PN2GJw8wsy/dhfZo7F8CIC1xDHrW5x3rqroDIJ81mx3qo67vph2k7gi04ZHkJMY
W7UeosbdJq9d3CtoZMbMuVftFnNymjDJ7x4mGBC2c76GDLlGsHvPZ29kck5Sad0jtXM0fibtJoY7
NqQWa2xs1NB8SwexYyUoOOnZw1SLdj3inW3dgao+s29ZvzbVxdZtl56hEWbD/WIIotAO2I4GViLB
Kq2+73CwhtW8bTp6slNb1yCFQ36ENSJgb3VpOhf0SXcqBdmagHwdH6xGGGW+ujCSN/ib4t2aNG77
NMDLH5J7SZopK2a4YtZFhP2pKrZKb286wlx6ElJDC0fHERxitRoRFUEvDkl/ZvIbdD0rTwrMeUTz
CpdL6ePmQ92eopFkGOi1VR8tz0rt03gBo7rZURWN+/YVp4Yde1jXxnHydB2gpXGRNjPf7/dYZspi
J95DdRYdPnr4/zLkwN15bMjzI4I9rDnHrpHutDkm6fXk3hpYNdS4jdbmTuIpj2EjWO9LXcytD+Ep
ldsgc+TLCXbkmcL+lvep78xj7BIxf96N1VmXD27d6Dlkabw9ZFj9zYfObkjXwZtMp+qxB0rpX4se
N/Gyk85s5Zgu1J1w/ke6xs0laj34nXNfo3hy044P09TrcfV9pN7yJDj1asU9Wy9zB7buY7e2TVtk
XTPZD5vmhH5UhAehchi3xaPGnUqH+tsIK9v4FcIEMvl5ypjsP83D3BO0vfCpTAvVkY6fFHc2oH5r
YsGmfI6WgKNw2HB8oNqDky+L6MpLC++MKYA6yaMvMPsPWRHjUO/O+zL3z3zB+j70sR9Y0W47BleK
j9l7SkBXKdIgqq4ARJBxBFVOfLkhA6dszdMtVvODbuYGSvAErqoo77thuk+V9tGQMyg0P3fT7LYj
TdpsfUzG2MAWGeNv+ZyJ0TfHdUAI0KuZNOkHYRFgU9qsAkIj2sixhzDqCmW96Tx5xFgwHV8PPbf7
bdKN84QNM8OzAT0B+IPipoe3rbmv1CD1Vogsq18FEJKiYmOtWl/b3c/QqUOOTHwBd8mqL7hMWv3Y
W0B/eaPqYT6kAXLn4QgJa3IQVTqOpYkrgk+ibYbkPlv0NWCX2WvxI8B4bepCipWSUi1znCx5v2/h
fScGmFnlu4Jk71lD/Jq+qy2b7sy4oOIqmrqLiqSDWV8osLuvOfcsde/JAleHU828xnnPtxhlegpd
tXZ5SLPInVtcQvy0TKPjBaFsLvvQLONNv+FR/0hj49cj4f2QILzKwIkuydpUlOkA1nZu02Q/ShxG
3uWGVp19WMBok2OhmOLDXW+r8CjCNZd2N3t6a4Xo44NAOM+GYxQlR2n2DNu+H9aoPvdspO55Gapk
fT2aJSkw55jJpzBUfi0q32QnlGsIM+0hP5owrszN1jWnxmn4hmSQu+OwTYt9d1LnE3KeWOlMTE41
6oH3XvH0tobDlcqZ7GZbNAlhNax0NcmnKevYRfg6fMsgyuruCR4ddbN3dpf3c0TMq9jDeRctUOru
aibIjtopycyrNdJgU7uNFwzq/nvMZKChR6ZsCpN4aHDvgxHk7eSj+tCTjvW5Upu7XftBPtYewQZl
j2Vc0G3xBWmq9pRlmbxbWB0udbINn0K9dm9kOpiijdnTQI16Szs5yryOtQUbaBn6fs63uJXe5jWq
3XAMCPULJ7aS+h1LNn1xXRCyxHJmhdqXfTuOpqOXAFZp9tZHgr+pB5/CLR9dK49OleKrH/IKK1fA
vSA08bfWVcG9pZSxkK+t2gQYtsnqQ9lebRrOQ9h2uNkIkwSNwON5tgR9TJtOXVmzNYkua5JBigzZ
uY8vpkkq+WCjzbrjCvuF+N3OBsIKGbLV3S6ZpvUnVK5qPlBHInLSrW6zu25bB2Tw1uM65D7RRrxL
l0HHj3O6pPoAw5swwinCsuY8RascPkYNIp67goaWtmVsu8blC21Rikq38LYwA2oUn1dplKZDHmhY
2q+boOl8t27Tun9B3pZHOdQ4QbG6BzxbVOcdlFbdAeZGFbkxYmi7py0BJHOYxixVR8ex75ToaGp+
nq+syMPMFUkfoUbq6C1ozWlSJnKj8pxAb7b9aMGRV4+LdULHRZD12lzsbNOY5fBLERhx7h0ZwhNa
Y07QBYNJu98COrHYF5qR++ReKzySb3o0q/5jT3t5zibwDFKrPP+Y2LSPPikMSdEmbxNFNiVmA02B
1YFiKa+WFbu7NctWrqo24j2D1YJ7Jzz29g/WzpJ0JeVzhPOqGmm0vmF+7wB7RITwNHeuMqqQVTqQ
B7uLLfzI4MIwfDMtZIAH0SHg8XUYmk3CB4JO5hWit2m/HcYVprs3so3I9IrhKcOOGKdmFtiemo0D
w21GoCynLo0bf0r7po9Vme0GJUA+MMZquPNP6D9Q8XVzEVZ9rUWQruP8U+eMqf2N7OvevBtsNK3H
qYucPFsrF4pPbJfelDMZtvVTLylEkazppf3kfD8DK6pjFRWyX5Lbdq4rVswYZru70HVZjY+Et9Bo
Wgw/CqPXGUXpzOCW827ZMylgoDBXd1NNgP9Um3g9pyQ4VAd03/VjGIYhN0hRzaGmq5cU0Wmim47B
CxqKGsGzy3lPLRq0Ri48t85Pkc7d4rx94onnzY8ViTPisPdx3JTMX8/VvLaI/jjtTNEvAfmFbZen
UySrC1KyM5YVdti7CPVoiKObbccKvsGJn/CLw2bffZZ725Q447PqcSLWHNpo3hcQU6IqOqO+TV0R
A961eSTcXBVwvUrfpqsDLXD1Ta3PsrmeGLhbLoHp7jS1BU4krd5RTFbiY9c0oyt1RFt/WDfoS9D0
RYD4dt4k7YPofIyGuQ39A+j5y3moWjbiiayWyxQD6LiXpHbkvFRu+CRQrPiHsff24mY+Dk0pQtgK
SrFxAIqpq09wI+naslbYO9vO9PfOxSjgdtjD+PPARVPoPSAuBqKc+NRykw73s0vtcG+qxd4uWk/d
Z2I20R8m0ZtnNJ3pQUUppDy4HibOYefIWhu2zL+j8Ij5bgiLERcPV5QWixh1Rj54ro4pwsCXYkZ5
PxUC8+YVqX9iA+iOfdMW82y2YljQMaKw0XIrIEQKdZ40WLxz6MlQaPCXwJyG7Qu5n+ToAK+4aJfq
wv1Kmw+bX+f9bs+20L2F+8pE7hRrl9YWLl11ezsJsJvgbLdtJfLmATFWa/ZIkM5YrhPfOvhKVAg1
HnHO86ekSdG8VhatUc6Q6nfZuyrawPqch73sMQmmdV45aLu+ViMSU86kR+mcV/DuEN8nBxACZxZq
fqQObjFoO7vD9nYfCTm5N5gZEXPnocYfHo1HkudDtsBsqBDCaP+oMNL7ku1jBMOwmrrmfTPVkHz1
TusBbDaVPSsiXZsj17bJfY+kD3TMSAXE3rfq902LHhGInD32dglJjj1iq9p8B3JHy56zphlug+do
M3OopJJPKLDHtJjQiK6PQde7f4r1HPEPvprH5XFZW9leRCNr1R7UUvXtea2bLWmw3xL6o/eoJj/1
ofYosHep4fXcT/P+FjirAt9nRUOutnzDWW5OW2c9nmwyvyNpkx4xqUhuYRGAg0RQGHXno2cLf4vn
wQ8H2bgG/jUiGbc7L5ax/+gVGtjcGGBs90lE2Phdd1L2ZT9VhjxHZFfrQ4jRlTxUE3LKngQAKPKP
tnt50DZNxx90tJKftqQe4iLLYPd8h4OsxmFdb5T4smJ8E7pA0hPIq8WegHD1ZoU3T3xh8BmKb7Gw
eH9ZWJppBM/F23gvNeConOnUw61bN+Z7TNO2eSB7NYLDVsX9eIJtekReQbXH2VQgg2j3mD6MQR+R
ZOrNEaQcrQqAx3T5MnplI8Tz7U6cowFd44d4UDNKd4b6rkyM1B2kkKgz1cMCmKQvwO53dslhSZOQ
25gRihqaumg8tZjyr188CdLiXbHK3fi6Fb40VOv+MKSpmEuCPBTX57NRoTmi6B3kbZXBRAvUv+Ea
ToWsrqnsmlZul8qBFl5ApVBLWsIHILZw9a4UpqkYxE31ha1bumNrdjo7YZ+cMCuecYTlgJuSPodc
ce/KWY3LcMy2JZm/85b2Q4QSKclcisRSeLn80L0aoCbqMZ9xtlgVjsOsiAYjbxjRJGznPhGpeAfH
YuXurmtu03jjbdZlRZds6fRIeTts7yO8GxnlTeLSaTlevZRRd69iX7OH5doo3FbR1G84Y8DWhL1R
qOr6MajEoiYzS8riFT0ZWnNeAFKmKMpjq+T4tQ3YskFDClzF341bo/m4wFoVdSEec8DmyEqZzMXK
aRGPtOnWGiei6PZvfQPQ9VPX+ak/ZnU2Rh53V6cjkoCZaZ8yVDU4GojkGT1qbO3z90Zn1IvcwaA8
PHieLeI5AQzRInwEMKf7ImEm2r/T0TJFr6YauPbTeq3HoWgPYiAFX2e46kK0pc1wbhTgfSySTKdH
w1HfsQNS/Jb5FvqzmvpiB1Q+oaBvDW95CYKXE7deAzC/QxEh2F2/ZJl9Mw5dby68Tv10jhYkdX/C
1KWKCwyMGCQlk4qWfODER3dTDAeap2ixS/sh2pGKV0gUAOMhLEqYh9Y6yCwUjfn6vA9gXxUitsCy
23QYYXBi6sh9Fczq6jn1tinICHf9bt0v0Y7waIN+aWqGs9d1GnKUGR3ACr655RSmUaYnAzDR3ww9
2+N3AE8ovbQ9Bh6FjhXGzweoWWMjrmf4jhb+ChxEx9kQshQpU12U45m7Z9qGDCMVCvuEY5yA2Dsf
2ygBrM1GINkhHxDwJfIwb5qWpuE0O7ltkftJZ1sUjzAUI36RgC5qJHVNi0y6O5oYa99RC0/v77zO
FnUXAwLkx4E2i3zjPRDocqhFV0MbBzrUq3YcB3Zb1cPYv/ECN+Y2ENHbS7wg0OV+xbUS5GmHnb7q
Fq7qy9ZhUvcW9WxbrUW8sNDOZTcJBXQug0NYGxcLHmYdFfCGYEGXGHdwIY89qKNXA13+EZaXsU0K
KWFjqA4KiLddzlx5gxvreKfNq83gpmE0hJWASG3CZXiT4rZD2iNp0+9vARJX23HFk3yU+87v0Cuw
6JZElcRki8XwTiPXaYUgN3HHmL7pOz7Tu32YoPtNSJjcR98uEqYG/QJriaND1HBo8sQzyjHKIaD8
xLMVa8HQv9lPas0EeTVB9G/J8Wo0mqB12yiixYXZ5doVUnnfl0GZa56Zs+yBmiobzxl0pP40j3pJ
y3oNerwjFi4pQIJijJWmYPhybIFVJnlkkyQ6YhTj2nIQtUR1rWerec5S1aafN44M89tqr7vtNQwB
MgeIsanM/i0daVp/0f0UD+c4hdDuHAPcmu+hWTfueYAhcvN2Gmm23SVZZMOPMNNO34VQRxY4xkZE
gQoG4DhgtAUQcmstqGazy+6XWFlfuIDYyrPBJXTlshPSF2BmM4wGs+zKBFzFUYKE+TCsyMh+G/u+
tvfG7cl44QhdQ12Ad1iBaS9dQC655Vn3BWhGlJYdFZG2sNxEIVbYEatdHYC99wAHsJFeuxl/rUdk
ZNa0CFGUGDwsYjYg62t6vYNSoyuv89hQ+Wj5OkQQu7e8/bZcz8dvfIF4H0pmWp/nSaIUibHfDW9S
Y4jDs1dTNbtcCwtNLzppxBTxJm7jMiU0ArkjrefqgTTc+SO2UTjxrcPYrt9dt+ntbtq5ou9RDLBs
y7u5Wy4h8H17L7jS6yNO7To9WZQruYIZypwjiqa+YoJ6W3HmYk7zCsWx5BfbgOf+ADxYQW4N8/0d
HfzcozmniE3MqPsM2eQscshaiD9sTPcAJ8zcvMY0OKnLdUU8+esOvDqci0h4gHOgXEUl33EN3agu
xhiw/XozVmaeXN5CbZblk8C4NC0w4jPLd/TLNTAq9KWx+4ymbG+jnDkMjLucYpd1gEqGCVqDHBbp
2tfHDeJERNOMW8aaj9D3hsXki0eEynyj0HK0XeFnuFf7C/rhjSalSRtMrMt/z9e4Env/xQz9pRVJ
DeBxayPDjxOiE4cS+fbbPZhKc4HjGaA6EGbxF7LmP2FuJC+IZ2a2wWZpyo5QH8/8jQtTtZS6RlkD
qSoq/yKG1nxAEbKF8S8kmX9C3Xhp/tOBjILNg9AjEwgAcPC4OMxAUP7iDf3Zq7+gumjEh1neSIp5
qPrSm+SdF7r6C27qn732C5oLqrJZ6bqix4CMgbwx4dwuQ/qTL/6CN+GSxI3TwugRyMoB44E2rxL0
0/9+Qf3Zlb/golXb2joqW3as48hiC18r9HnY7H/q1V8aoZBep5h5476gM4ARqJOItNunN//+xf9k
hb70QWEmUV5vHZZLwyX5ZsdW+SJmgSDERBClc72A+nkC/Z7qn8oCgw7wj3SsRtSewyCCHpG9SN9n
s7EPXQI04N+/oX88W//i6X7piMK7kLI11NlRCdkAV5Fj8IAM8d/3kDj2LkOhhX8Zs2RkN63unru9
fU6w0uipsu3SoDStmwOi4L5ta4qc2NxxnMC/Xd1/ft3+R/19evXbddi//xe+/jrpYNq6cS++/Pvz
pPD/f11/579/5o+/8feb79PDZ/XdvvyhP/wOXvf3v1t+dp//8MUBZZgLT8t3E15/t8vg/vH6uMLr
T/6ffvM/vv/jVZ6D/v63Xz5/U+1YosY17Vf3y+/fOn/72y9JnAD8uxLK//Of/8jvP3F9F3/7pWg+
j9/a+rNp/vVvfv9s3d9+4exXiCKIRFirFHHGrpp7//3378BGmMQQB6ZUple96oioxeZvv6Txr5ik
wHEEvqVpKjF5+eU/7LT8/i0meCLhsyMkjL+x3f+vC/zD5/S/P7f/GBf1ampHZ/G28Mf/6dDgGTpE
pF5yKnEVYOe/dCdbUHqqWHXhhnkzv1UzDGVnntT3glTAmDtpto8uir9UfWK+C7AOP/kF5Be2NvDk
zayfDnydzAFiW/nBJOt0WbHnlWiNhm90qJf3/7i9/6+X2X37FaSb6Yd7uc7+sDT/P1qMqbySJP98
IeZt89n88xr87Rd+W39C/JqCI44GjsQkgRgca+m39SfSXxGfxQkSuFOa0uQqFfp9ARL+KyUxZzJB
cBUjGAn/9wIk2a/4DSYk+kmacqzS/5sFiGX7YgUSuFCkSQJjV5phFVK803+ms84wQrCjVOmNrpLs
uauzvVxCM142zm25dttys8IXpemvcBUR4mPLlbojGV1mANPgyd2MeEzuMYzv3wO0bR8Qgc3uEzmC
SYrKqJG5JaZZrlMI9p7sHlU3IEN2V/XNBFN7N48wTQzspgaj5r1M2fRjn7h73+wcyR1ZStwj49H2
KhY1+FQ2jopsBmrgY0Eum1nJ6wWGkbeZHacL0msRfALk84xehm9lQqL0fcR2kt1qZ7vbbpCpzVuR
jc99W+3xuW+z6Dbu8IcKmnUr5HFsZWCEqertNnUoHWlEbxmskj6h5AGdq4tE3xYzD+07oPPx24oG
L4+ox/Ha6bSBDTB0OLDrYSffZF0BrgdHcrpguFkfkSAPihwm8LAGBBBwh2eeZ4WZ4LqvJq4wZGWp
eYo0CCa5WtrwBFpRd1wxz74fRdavedwjRRf1LlXLY+3C8gNUzeg1hiYV8OO28p91Am5Y3kTVCo5C
FOaHZuspCB4xeIDHCm42DOOatX+yewhnBl7NcQlA5fJxRqZb73vw+BY+3YHkRs9dktSwoMni9Kh4
J09koQbOhumPxg18xttCXjCoP5k5dVE/L/kk40UUm4vx6aKHJ0BcQdz7BLJHD24CeHpwW9RHyxP+
hk4xPyJWznwLDgg47gbcRJeoS7/qPvEfE7eyS6S7+pY2dnpiIpC3PhvNPWY+HS2aEPMIHP24iw7I
FhxV3mddbQveMXpZahZOQ7/JR/AaNYYK/VgXMKVRlwDTWzDAO3+hAPefdqr5LeLD/SFhC/2kmnV4
hrmPe5PFMIc7wbspfmr3CN08Rjcgw3V0kw8xMswfNYtBieS9cPfUiPSOzpycY8Cu4MUhg/i82J0o
ALa4pQBHenVKItk9tfXi07yX63ZXeftGxXv1SZqxv0R9ln3kRrFbHoXhVBNDcJumRD6YBTcqp3wU
FrQkzEeKEc0oWlLZRZjnT5bvxwQD7DEXdk/PdrUw8kmZJdDUreZ1NLH9KEJ3iH0blVTPn7RWFUDP
SZUzgLp3cwYs18jpEm9LhKiAaippyB5dD5IMTqujkq6BNDx7XzVXeJvY4zRxg2RE3txlsfDfAMF+
TSIzPyhm3sxG/5CtrYoqBY4q0aprjcnCngGzn+uSU52BQHDlXhB2nFrw5h8rqrDqGbIo2PF/snde
zZEi6Rr+RUwkJJBwC5SRquTVMn1DqFctvPf8+vOgWdOr3Z05e783EzMRU6oqCjLze+3E5F4ChXaO
l0BQeH3VrYcZCXHvmelgXbZoWichJxaEIpaBu/bF2VGmveMxHL+V4CRXmkCf1erEPecmOMxdb9P1
C4a6RSCuQosnL9Jm5zt6hqz0eqfXRm7XKP5LVrImBqwmxryrUN25l846x/FBDlwcT1m5Br3tTHxI
XmQJr6JJJORJmAbtPFl9G/uTo7L3RJYD2CdsGf4xi9uinw96YZkHMZpiZ0YNGqtWrRSFCHEoIrNI
kP6E4TfFpfWHHqRmqq1sD7JStEEWozUGHoqaXZn2wx7qcL1iihUPTtqu35EH29IzknY8wVxVF0zY
2W1oOOEe6iv5qJMp7EGXUcFArQhC8BfY0kRq0+ytBgrokrzw19rMxbHJIE6x0mTJcQkTwFvEVMi8
OmVctTbMsczc5EhVUPtiGq3F7bBAe4bM20Vd9TvSFcYHkevti4aU+lIVzQJ8nip16AbwC65/d5ui
TR6RrpvDD+pYEOob7pGU5ZOeZcsZkVr+0hpRd4oiyh7WTHsY6jG7SEsnuwe0i25shJA3hpYVB6cs
5W1TnuukvyjGcbkVfZIE0MfjN9eV4x4YoETIOavmYs1q7Vp0pahPkrvpZgL0PacxK7yfgT9emlP+
Grpu/6oI9XpqkqG64jJnd0W2mt97q6R1oAF7qv0G3OgmQoF6Jh8E7togJypIh17uSB51/c5yjKu4
WMs1mMIh2ZnucMqX1fTjlVR2TyPZs9VGJyEbnJ9unYi2yNdifQjXnnEoRKfy7Liz3C01MEERm/JS
5aggvSFfa7+z0/QdVetwoeNSRi8EE/qQw/vuh+29VZLI2x4TwT4qsuVo6LX9Fx1N8sGm8KreOYWx
+LLMSzBofYZhNCUWGNVFVeOZUX4YJ7b7um0gOHQbLV823cduB23XawQ0OshpLtx1idCDU8+XhGH+
rJG5/60HZjyvUrC+66oxLmszbAa/jKV+EQn53i0iC9DCZz/wPJLitFZp/Q1FCiJlNCiiDNymVee5
dtDCON3ieB1rqxUXb6jpE27jLL1OzTa6kdBSMIhrGAG3TajHAC+BcFCKSW23RGV1p0xH7y+mJlkf
K4PDmzdXCNZF19pPgFjjNzKp3hFtV+shCTvNU1Eub5TbRT9B3qJ9acd96S3GDIfeIY8hOdaddyge
jae0VdOjYql5C2dyj/0SGwYC+UyA9qrUqr+pJc1/InLLfGI986CI4cxrsLTXODUM+9imjbzpmxpQ
jEV0jsDrqGhKL9faGl/cMPoB9H/k0XJO1OSmuwJ1v4dG6Vg2+oNY+Z2XtJouFwA+K6e2RYDgUUk1
rRdlWi8G6gwekiNx2daJumf7YSzJadC6gSrp0u0vnDjl0GGtWfcDJeU1BgV+KGbvCwMi/dCkbKYQ
W1oaIDbJgxJy7y4KuaeHRbC1FtLF0BFO39C04vdcybRD+9ve5sqcv2WkVAaI5y0vy0ui0bvc3KnK
0h6dWe1mc8EnIAznbuoQrbYQ2fAXSfqsL+jKxxarfTuW9Ts6oewwkXGwizhuHVFpuC8AyMtNqNvV
+9gZ835C9EbHF8qgh9ZMmiOhUBxMjO4I+R6f42pY9qhNm+9YyNfTrFf2h1o1dOKhdVMbbXIqNLb7
0mj0H0u5EKCSpExS/jx2MvaWUUtOOXA+npAumz/CUEzndUmjJJjJl7te7JaFZJqrH2hGjd2kdc4p
ogHvMBVTcmvjJ9ij7Xb3qtez/Zqq+moIXe1A+GLh66Fpk1A5vxf22t3iarimfac/6oiqgkXH4uL0
ZEOrxc7OTY+KdBmmM4fOJEB7Zd7ko5Efw5plHYUZaVJEuFHwcl564ANzeYfav1FR1O2Lqt+UzVGi
7iv02tJvaqHv40Y7sSYWg2fkafxYNKyrXkXjUuKLaUg5RrjNelJIW/aE22v3jkC6+johkVWXY9jN
KNNrPJvMreYHh6xqOFiy0J/YpJrDPPX6T2VNUXO54g5rkMhk7vs4OLq+X1t2o84cpwc3txTimmG9
Ep12hanUuucwuVzSABB7UnQZgbuJy2luSKELizRZ8FHoXehNrSUf80yPjgjLYbpzNwymPj1Jq7av
WRH6ndVExdmODHqki0gmL2CG8mwUGm5ezpnrdduTWuDVAtom52T9UCGvPPO8WgNnrx7fRLOMd5mG
ptZblO1cmZreC6+2y9WAcTZFgJxIb4NZL/OHVbcNHMmwaa9lFhdn2eFC8Cnjsq5lxQkFZRzqZA6r
BPLEkV3dIq+1bL8rutD2oLOS1c+aNlp30SqQhWdhHT8LmmVPbV2jn44JV7iMFEcMymAvqiwvrkfo
xRwpfXFljLa6I2eTCrRZER3jp0VZvDtLov+I6sG5QkWrXodYHy4cx4VbtO0kq3xkpFnsh2U4zL6Z
OyTjlKTdB1oFbrsL18l5RGMLkNBm7bKbKUAG8NsE5Y2FvMnNcUeSuRRosav7C6U2B1atN9DH3nMN
aO7YMeNDvnEgc0JBuxHdGo310ehjdAzLSruY05D44UK7EHV8NK3keq0m1xvtugjyNOofxNQircck
cggRMgQZSWZ+bhJ+uI0YShVHLsTqT9W+rDgb8kkubav8EAuXJIm0o2HPwuOHSDxG5E0d79INX8XP
bjvlPhqiR4zpi6cTn6hx7PAYB6d9m/Y3TOf4eyaH9MyuCQqhHWWCmpdh5IcWynNmpQEs9kYtQStA
rH/vK+MUCUYzupIAubGVBEhvFy+r4v6CDrx1V0z66FHltwZhUkjI/rEnzW/gc45kWdjuhGWY0AMU
ckj25rdibIJuiI/YIuKAsO+bdVDZ7YQmaGfHYr3i2TMPtQzdgK2H7MFpaTGauYa8TNFO34e1kx3M
sLb8qMHI1IgBT5qZIHfVkKTgxe0yDqXaMh4I6ArvFppNQh8N7yJ9zR2chnqnvj3by5Aiqsq5vk6b
K4S3mvJWaY5HU1Ph06AbwwvFEXXqo3xhYEl7OzlhrVJ1sBrjeJeLtIjJ+6vdp9ws5rdeRuGpgzG0
jm1YexxorJdoqodo16PMSn0dqnG+FITg39t1NBc7W0po4FnMHhuHeMZPkj/0IqonT2tNWxy0LO8u
lVI9Z1AHcRkUeP0Mc/cgF25F0TuP6PqtEwsMgqGkdo5zju69hvRv7MneYYPBU9W5u1oX409jQRnJ
6VQ414jjnCMzVtnzyNX56+I4NsTg0qRe1Ybjd56sxE+sGiNEUcSHwp7tw4wbYGcljHAGkp7LdDXm
Y++AEnhOrLu7xGjrE2ZHAAasF9NThFLjtcL7c0jsfih3herUN4eDi+lFNmkGXpjK7HeS5H/o259B
wTaomWFuRMV/huAuQeCyDQ/+FYbT//HKv2Jx6jfXckzd/Rcs+HcsjsOe/AIFG9ZvhqMcXmBKx1T2
BtL9FQo29N9wh9HxYynLYaEm7uy/gILVJ1H4D4qBedWVjgRCAw52TMv+mlohCpFy3FjWA+q4FcXg
IKrNxKrLeNcN1uD6wgrtZwZ9kQccdZN+V3cZvFC0UFcQdJ2BXiCsm/FhEpNLVpnVW/s+14orZx76
PeNBf19BinqlXk1+ahWr69VLnhw37dSJD1SA+FTTcXIHe7paLKbes12J9lRHCMdurGGIXA/LW4wE
IE9VfGpBCI0d8sr83ix7sCbcrcviW2qVxo4CsNI9VCpGV1ilCbM74hrcNU6a8nC6pTUeszFM78fB
ao4NWsss0OfyxUKU5/pDqA/vfDndz5yOtAc7ksOjwqqDpl0Lc84NhR4eJmCc1Ncme6rAFAu5t0x7
jPatpO1jn6yTWQUdCr/rpNfF5GVxYxZBpOpVXBoZQIUXTjNKLxCBUB1ThWv6aK5kaO+APdh/XdaY
2U/iUvtecc5zyYhaknNF1d1bA0J37gxhCq8FFmHVNBSt9E5O2LpfSHCSIGvbTnkVLeqskdXwSvvF
ZHr20Fc/jVUDSDOVRk8XysVzuCbLFfLMjvHLcrvGGzp3WTyrnjEta8Z0q63aeJfKtiBeOtYYhNI4
yndLM2kvXWMuxKc2dlcdzKazbzXDCuvAYMhD69iRkuGTyJE/VjIfF4ymgm4jc7XxB3W5o3+gtHVz
P9L0/HVVvQz3sPoc8UO1pockaRP8xDXpu16qshU9Kk1XJ/wnHIPrcgyMtmtua5L2b+OxbY+yr5r7
OHXEdTMnloa8PS2mADGos8uson4TSBWuxZjKwad9xfCrGtUgvYnGzjaz2ndnTsodBRPsLBzd6fVo
qn1l6cs+jrL5WS0hbtiodI+dlXVPc10lz6abgohJtDZophznpUAY8KBX83xbRnbnmf3MxK+7002q
I87NMwvnEunCV2gtgG35WweVzygB9YnCDITzwWAiuY86PtKEm3lH+MV6pQ0YpZFShpdwvtXRKGIc
etRUHCwRF0+tbtZ+5chvqB8LD63hDENYe814Gg0eA9woyeK1zK/37mjJiyTmm+IJc4KExJhTE7Yi
CPtk+VYztfv2MMyXskc+Eqt19BuKWRfPXlqXI6jJ9c+MMLrVLX29k8a4ybbS+YZ7nVGe408dxBWH
J2cy+7shrA2ACkt/WKNpfdKK1j4iZF7c/ZQ2anNA1eVTHpfGs8mI/pRV/fAxxG36pHQLaNgZjmbG
304FhkIfE6h9uxhF89oYRXdXFqb+NrkhiCRWb/fBSAYBBADEwYkVTwTSFyrdyAmQ6W6SyxpE0jbe
0Pv3i1drnYn4GGDHHPMsaKex+DGzqWLllfb3NNa6XVyQ6BeMWGHvpaPC41LjpU2KKn9XXYhfsWoE
SfocOJabVJUrnIBI6w8jafSn7UZ4lKtaP2I1TXXgTCL/tjZC3S3FfKuqRBu9Oe4xfStLn/ieWjMG
ueHor1KimzgM5lxagZvn4bWUCuEMa8R9iPvgZxFnc+Uh51yeKXjKe69jaT7S0sY0kMpQfmRttab8
8rKJ0Twa9uNADxTAHv74LRo0um+LqHyzW5OnfxxKJDVOnd+KBE+NX7sl2hnqTs8WonXcSWuy7ue6
52wocPeYSUjloSOwOtncA227NPvINATQaGi2l6uwmjpo89bWA0oq1mOOaBjcEKvVraPLfItx4yGp
bcvEZNsb3X1k5M0hqea4wnszdA9EuyY725bNhUhd+yTtPLyPcnBpgkGzy3LDqjVAa6T58zn9BLJr
saR37ie8XW1I9/gJeocyGi6yuQUK1zXGfl1f5NnekHK8f5zhKVKPb7INSXd/B9U/AXZmzvVusrto
OhrMHQ+hSPLHeIys78aGz+PCVYQf4CNDXztdYrW2z7kxFugYB8rCtIHowWxD/NEOL8exmq3LLG3J
fML3CzmQb/D3ru96G2A2aRLLn2y3ueJRML7ZG7+AJzY6GRvnsLhh8TbjVXnTCHo7NO4G9E8bT6H3
PalDVWI8jkjxd+vGZzikOZyjtq3/EoXR9IYEGeYjklbvUMeyMSIr2RRHlIfwJMknZ6KXH2FXwaJs
p43joAFr4CvTlsDYCJc+pIcg3UiYaqNjiCOGmVEbSUNADtEaG3GjfXI47SefQ/kr+61Tu821G7O8
INX8ZH+mcXrTPjmhuDCwmW9EEWVzcEb6J39UfXJJ2NbKq3AjmMqNakLqnLKzt117V35yUdSJdx4F
hzBUSOWTcznC83H/Q2F1G5mlNlortjrAJlOmxjvSSGTqmjFMAgZAJif3kxkzjFF8s6mafWLPhjlr
P1k0tRFquICsU85oeXBty/3mxq2NcLUlotKpUvi4zBi0E7QWLF0yduWjLBu4u2aj8dZGE+YpLhf5
XNXIuYLZai+SzraJDNlowHEjBPtKGffzRhKabpztw4041DcKca3W6XYtOy6Iy6Lraarvn7eokQ8U
NnQyT619yDdSEidSHqSrU967YWOesX0wgi5Ywp77Tz6zx6zrelaENvwibWv7KtnIzzxssudqI0Q5
sMGNblaBBlzIzc8ufp1XPDPQqIn9Isy8PoAGzYGxIVbJRru6bW0+woRlF+RvMEO4n/NEuY0W6eeU
UW8DR7yNHuU2hBif80i6jSbuNqTgtsFYkm2jizHn8aW9jTPLNtgYfWPTf46Cc8Cx7Gkpg2FFYsr3
5XMqSgim93PglleHdBempm2AardRSv4+VW0DVriNWgMzV7sNX2Ibw3TZvZXbYDZttO6wDWt4Qh7N
bXyb3PFB3wa6lrS0w2iScuqp0WHFSkdLHAgGAMmq8ih/SLhNnpttTESvux6TSRuLnb6NkcbnRDl8
TpfVUPfRrpSG+YJXfflRKweSZGFVRxeaQ5uw/YTdcFyRSm/GNA46IsoVKBHWDW8OB6tj2WYaTBge
uYjuOAIBs30ewtTQ/TUestt0IV3YIwskDCpUnbd2lTzmIlK3UWKGjwlUseaTEyYvBnMaAtp/59Cr
QXp+1lYhHvsslceUIG7ExlGLeAujRp6M8nGiIJlLvl9N/veis666QohzISZzRwQJeI+LiF5htb8o
dBTTapmj287p60Cz9WtVJPo1DvsQ5FZMd2FTJedszfU9dc5a7Pc6e6w3hTTl+KqZVDCGlbEfCje9
1gk9OCOCm7Kd1sFqHwtyBa7alcMiYK1lP1mjlZP00VdwasZSavap4YD4NEQYBgM5mxEsYQlptS7A
eWpC9ioHTol7vSnzkdpTcCjPQqX/DVbKvcazHt9GqtdsnoplkSxi83rptGPz0tm6/c3J7YVYAQV0
AHEEUI8J8o7Fji5PEMv4lQdYgE9OJUdo3FPspnn5gHQ1uqozq2VFBaWB+qudS4Mv/uHaY9EH8RQp
jMWcNy+wiSCezlcE8r6p+k4cweWNvexkFx+LHHvBHl2krgVDZ4XklOQGEs1VQLz4fRRJ3xw6lewU
UiHDxz6svWnaJvMHIJd+z5k9IBiuuFlVPrxWapONN+NSXg2O8hsT26DfYRFcPFyn4sYhA+EVhJkJ
DdopLW7wXQsAnqbJrcCKYZk9VwtDJArjPIW+KONOHmlzQGcPplAcw9Fwn0NyckKPoBgXkpugJnzz
Q9NVlxomAXqxS4rePUKrn7sOY9qht4VzQohGvEFqRMm3SiOg4K6o2mXYm2llfnStCbVTN0W77EPR
K8TJyol6hPbcHDe9NBk58hzP8gZ4rGx6uTuxVy33PDOkG8mC7BvwNs4arP6nPh6PLWlAJ7y75jPL
knVv02wK3B66p3Jc+od5ybqM09T6PGFh1Tw6cOaO5Tft/TZG+u6xJEF2/U+g9F+o5RCK/meEJPiZ
x8k/oSO/S+x40V+Fcgo5krvJkByMD7/Lkf4ulCOEQ7ouujdDOhyJ/yFUclDXKTATGyCCA+kWtPc3
eMT5zRQGryKnXaczDWXRfwGPfDZO/YqOsFkrVHymziiFUulrWUhSWgQUuVhjk3aDfRsi0R+HMZpe
4rEfbwiLehy0VrsvZY9fIM7j+kTICakWZJRl6PXT/LXI2vENyXlyEWbusEOFZPnr6g4efqt+nxAa
dDfbYr7nz3OMT6eadb/If2LQ+IHqjsyr1dV2DVQxsLlZ3dbuFD5CCBCT1+jds0Ro8lY5sMeoQbA+
hVl2u1TWfVbl4ynXJXE70p6eZGqLnUhX3HUYdQM366uHqnJfZg3Llj4xbJZZAxupadNBlGRJzYaR
AO7UKNqX5kEUoEGYCCsCTXv3vp5ZC4ahbx7Mgnb7LsKoEE0d0fttbx1JMmkOmFmnZ6ToxK4YYf7h
0ut1Hhl4fjh20eDd6vofAyqTx3QwigMRTyDxpg2RYI5SQU8Vs6aDt4b6d2AHlIcmDWkC8vI86fO0
+MaK1cnv0Dt8l/A6tDOhqUw84tPEa6Ur1xNhDaHnEHNeee1oXVn9iDdwQULz5Gh5d4obvSDczlnr
0aOgnr6s/y0J/58lQbmYl4w/XBEO1duv68HfX/HX5QCdIYdvoes83LZyt4KOvy4H8jfbIhFLUXfM
Aw4u+vflQLd+Y6WwXVfnWVUShP/vy4FuslJYqGqFNPnhNx3uf7Ec/LPZAqyUD8Zq45gUZm3Q3BcB
voGpubTyadqlEY/MPMXrPkx7Em115lpKhOc/qcvZrBW/rj6/vx9viEqSur2vbSV5BBdoM04y/nV4
eczoY1xJ0Fom7c+6DIzPqvEv7wWejD4eyNlS1lcRPbYCQ8o4nnaGLjI/IuEZLUoU6xepgVE6C6Px
aiBS6pATsBFETeu+23k13nblnF0ULn460nQy/ZJ4rRoScujMDNlY1D6boLaEMTq2dU3+gX45CKP7
sUyrFfqdrqAw05lGL69Y81kx+lY/Ncz1nu1k+iNOxZ46OwXOcurNVtwSE9lR1p2sYdAzJ/7s7bja
dc6EyMbpcuCkWYt/RltjT1YqGVRhvt66jQHD3TcIS5pxAMdE+HSX2itFQcIV47HBw4njLXb5KAPG
rGeg8hXyL25W5SUc5hF04TU1MS9r6lCvkiUFd6zW+IM7RSBvROuwLqqx/cC9iDmzsy9UxP2gjwPh
iqo8l4v9WFpJVgec1cPLNdLWU0JA4O085+c5NvqdGQoA9aR+0YoY6YUw7lIM54fSUudlxlWUkDvl
NUhnfIn760zgG1HwAxqnELQOsY1LvoBmO6WXIFjc6doMxrl0LwkBMF4xm5jwmgQoSWkOkUnqui+Z
C/IO+eeGDEq0Ojuk3LsxBAHNIuNOb3FnGNo9WZcByQudRwBLfHBwWQZ54V4YcLE+hg7evm1TT+jR
R5kmjKVDyr/EC+zmVB07UsX8MVelV8WdCGyTNzfsQgSjI+5IZey8Adbc18voLTIo8KRLnmzb6AdD
ferpAMUBFt1DMok7KgHoguSKZjJ2A9RBD72eRj5GvXc8rmc9I6uEdD2f0LyDqImqSCaSAoxO3oGl
kZ1Y6O+pTdRBJohqGvqDFOmHMOxsl4Xti8V/gJcDvqUfCM/O+OQvI0ShPsPP5idsHhhMqH3CErOM
pzjMDr3UznQ1J7vaxcDnzFuGThM2TXROpTmJIDXD7qbpretEq17IOQV7RRHmySk/CXf+aQ91GoBY
2fuM7D2PCAdm7sgticWaGHUlgg3mf8lvDnM4mM61scTRtQznHwQwPs+RYRNIT0pOJgE37FCjKCYi
50NRByQZ9SoNQaShyCvNwtKb7QgxSVYd7NZ4yYTLFwgx0IW8XT4lP0K0gsQU92STSOX3qvLMuhr9
QvDW9mRoJM31Y9AiMvD5Ye/iYnFB9qfF0/K8I1uBBxVxArkspFl6YaceJ8E3LVVxHkkD9UxRIz2i
jfh/m+v/d3M1JEr5/3zcPpCA0r79k6dl22A/X/X3DRY+UVI0SvCnAS/O3/t9g7Wd33TXEgjp/rrD
Yhn4mzHA/I1t15KurdiLOKvzor+dt8Vvuq6kI3TTMPAN4NX7LzZY3uKfNjw2OeW4gtAQV2enV19M
aK6RAMKzEex6izXOW4Ehn2MUGX/i2vq6j1O7a3OSwOGgbIPv9eVtOrRw6RSV9kYCjd9HoTl7R8io
5RnMxkOEafXwy69w+/s2+seOG94Rm7RJUQq9sLqzfaJf4rtdfL9IfkJ7p/SZ0RqbOEv4QMATJi4l
y4CIseTBGVRKNLZzD6QJyoEHcv0O4qgfROOml+RCyUu9GY0dx9/00l3y6Qpv83rW56z+k86nL8Yz
HEJ83u2kZVmYhJT4Wn0H5pQt0wzmnIVV8T6NS+YjpOefUBGkcGmsIoAg9raxV+8tGub3YXampyVK
64NFbNpHhHrkG7RqT5rhWn388eU0/vU+4eNtNhYGRMk9yf346+UkoFqQN7LYuwFj8FWy6qzziVXJ
QHVTfFpQ5DLR6HV1yns574QmoiN5L/OOz+wct3A+ZpOouFnm+KTr9YWItbs5AswmgGYgm8puxuxV
4uo6jNAdt3llVD+GSM8OBW3W93/8XT67qH49eG2XGg0UE66UJlPtZtb65dZw4IxFP0hrVw95fF5Q
+PvTFgEcoFmNL6c2GTLoXWHttKqb3kt459DLi9IlJ7Ng3JptV7sb5rl/tRmeNI/S4XORadbLjF6w
A/dTLYm8pUpGX+VadEMU43gB+oY9MEpfawvyKAmtF9fq5XVP5ltZbil3yXisF7u4yNrcvmZWas4k
LK01x6KJLDEj0cN9XJQc3lDS7IbFwRSNafyqrUX87tio0TydTLOTZTeIyMnXjLyY1ejUgj8uXmpo
bh9UZHm+/PG1/JdDLNcSnaxl4lCSurS/9tjVCpGS1S3WTg9lcVOR+UKI1iTOoAsHJfUPLZ3mG4rJ
CbwmAC4ujkObTx92k7c/IGn7K6rXxsIz4BiJ0s3zQGkNabFlSXInIq76tiKC8jhCms+nqC6Wd3eY
dOTjIUnM+ay96DKLzvVqR5Gf14nwlkjMZycb0n0/2OJPbpxPF/SXG4cnc1vcne3I/tUlXTuiHsmA
sIlfasbrqDAw2HNpzYuaZf1WW8jubnTdwCScr3dklEUnWVtoEggDqY86mSDfIIGWnwhnxV/++Hf4
N+ursy0hm2UMCNDe5ppfbuk8Iog8tyYLybpBJmYLz0FUu9lDPChSPf/4zf7NWsBAhiKGGc+Bz/ti
xa3YHyZn2bIUl069CHTE21Oc/kmDxtdRjG/zT+/y5SnNnTSxO9lau0wmyU+BE/G8DCVhZyZV9/s/
/kbMuF92QdSULns0OypI5oZu/Xr5uCXTukb0uCPHwjhJrVjfV7uxz2Yrxb0xdyy7JZpHpg4hyluX
RIPgjz/Av7mkrqlMVzF4gnqZXy+phsiliS2Lrkk1PukTPNwcrupPdmFj+zO/3sAWXDASJsthCccQ
+LVH1GDJdZY8tXej1d7XnRFx8lwOaTLezbiO3eRmJgoLjO19w3yGONduVh10mv3ECVJJSpA7DBh+
YhPLVldPBxWhIbXm+86oidpZYrJmGOA8McQXtYkUz6OmqKXFsfmJ+tr/40v29f6wgBk2P4FC57Wd
qzbD4y+3/ErgVzPYrdo1bDs+zgxSypYxCla70v7k1/mXywa2uW186IKxalrOl9sjXkODrHkGNpXb
0WW4IM5HCDSeorbMYR7C4bhZif/kTTkKfn2qbWGx3nBcYmVVFsezf/6Kk9FbRqFP4W7Mp0fm2Won
I6c9uOE8vZDrh69fn7t7LUouCDJ8VW6Z7tW0GG9pRGR3L+ITZx8wOEd5MrRvu7rewkXkBq3WsJ/o
E4iSfg2N7rUa9UPCDOlhCYE/K0IMBHmPMWqaL6xsNL1WdST9kppCch1ijIQJydNwTdH5sIh9q4fW
lVPBdEStONeGlu8VWI3nhsS0y7q4GxoMomUT1TxA94CCPov+RWY6D0TMDDer/WbW6zsahO6mXAsL
y4IVvXSVNtxoTWqgZumiIFxTHQaJACMUV4AiJAEK/jtPXxecAcE8JGWMuqgb343cbQ9mjGyI9BNp
vs6JQUCMKB7rerxtncPA90zSSP9LmBCwY5FH5hFjXnxXpI/DV5CVureaLNuViVujRbUKEj7a4tps
0uxWn+0Q/X1KvR0xqOy57WD8JDXTuSrQhu4THYVemGSwPa4+0vcw4ftGeSSz79ghpl0CeFOSu+XX
uf2AMrUK+oa4HK8cBpPcKkJCT2SWmHdhPDa+StByS7Fzq/lYxeVKsLE8hohOcH4usxkQo+5+LBNK
52l4BGn5mXK6fEoMfLNyJdCIAODnIm4uu2Lu9h0gzFUIkPDUpKm8G7PWIs2prgr+Vo6b1UUliK7l
rnDXpzlCiD5miognZGHQxBF5yZkzw91rYPAt+bsHHb3LLYa2ghRofrahdWC7wjj6cMbePWB662go
duq7TX/2UjZ1/jwl8oABqwKCB4C6JXurvkMaDNgyw6FafmE0S9Cl4/Itj9b+TobLQGMHDRmN1i6P
WhzWh7rSsmutbqLjOsMBZBy0roeUcq5UGCKgDUHxznZ9HaI52WXTLHaM8/qbFurtRQUPeQ2H3gRk
KRKGmRb9XTzkPyhcWH6k2zechKUdEA7fisg8rNUjkKlOYP1y06BJCzXVHVKRTheVnlV/oVwvfiSD
EsxcUstsYZQI8ELpl5oiHLHvmz5YXWRL1RxZdxC28XXWVGsg6kX3CVxCwCW6ea+N5nJZ1G1xU1rO
T1L2Xktib7BS0yAVei0BL8+oAipMMZPmEdiTc6bDzTR08XoBBofWso2e27r7P+rOZDdyJN3SL9S8
oJE0DlvSR7nkkruGkLQhFFIEZ9I4GYenv59XFRp1C71poDe9SWRGxiQXafYP53znFzsKBk+DFN3v
shHDW+IX7qEK2mof2EuzVTGmOTqf/r6rOvBdiHoOiBnKXWf4yVba/KWYwtZvTlcbD+innA0GIX5y
UV85YedDC3b6KAYbPYBbJ3umsvdxr//YMjlBksMTgaIIvalps5XMUn6CkaTPegZDqmdt7Arb9x/j
HvaeYF/5bI/L796XzbXsJhe9KacC7+C6cexMH8tKPq3KtC9jWvE9wZ5Qb9J+Gu8cAQgqEEO6S4Np
YhRoo/Vu1L2Xa/I+bBen5cIoT8Zr+jrY/5hdqfVkmgSFyAZk8yI5HaXTL1wQbRVKkJpfPfmd94iQ
pjMDzvIil2bCgGlUW0N1LJ3LfM+S46NNq36XuHm9cYwSN7yJdVMTgzAzfz7jF8FeZszWN9B2sKg+
yX9tkJqbDBD/k2VU7KZiWjt3Z1fOmx23EIFxkndbwKcb4RWPxmCO1yReTqLSmM16fI35C0ulmq9Y
FRfbnEWEItX6Mde5vCqdU+n7E76CvLc8MkvWOt8w23rsLPBAJHysh3a2n0UM+rR2rHAcY0i5UNHr
lQxXmGG/YZGeUiE3ODR+k2MDOLjWzn5SLnhiw3xGR7bp01k/IN2NAdvjkA8l9qb3Ya3ERrVTHX8m
tGc6TEE+Y1qFHR+qtTsNYkgiq7KB/xfJeVyJ+xisSUTpZK+g+SAOhkbbjdGYBTWCgr52dm6AWo2c
rTvKjmbf5HlxamxDPxkCl2pm1jVOsEbdSWSvV8dtL2khkAbiD/nKnK6BjW8WexF7+PQxz2MUcLL7
LO7sd/7WTKnhB0MpyMp9MPvrPnVV+kW8DWnPvjmGnsvNiYit5b1QwQGJHPDtIacdRFm3wUFZHZWN
ktSCio3KtzAfSjwQu6Hl8M6z7tKJv0XKHCF0mfu++INH9o5I1ZM1lcvVTQr/hB11OXmrl58w+yxb
pxziX/UaLO+gt9HBWqW4zknbMnN2uAuhje0Rz2SfPtjlSDkwunXre++Ac9FGpTi4czvhuk2xxBJs
s5kh7T0x2Rmwfo/NPWBkeRp0L2F6wi5OY22+WEjbLmU22Meun/x7tqSs9II8edAVIcRmH+hz6+U/
MGjzF3QjZpTdyLc8olsS23/7lUx3dUm9GHrd7XQJ0hScZamo+1eEEcfesbc243c1PkoT83jv1o/A
btsQiJ0/RFhV462BbuLBbt3mOqyZ/JFZW717Vi0jRBdvC8DNTZOaXH/toPdy0l0QDuuQ702Hcanh
uNXdUKBoCmyHoFEPYBvaHCAA2NGfDamRZc9rGeidp2R6bG1P7UyIcEzn22azOhUPfjx0htrMtesc
84TMmdo3f/nO4D35/PqQ5YVxqQkFeFiz9gdTvdgSLU2ED3by+hmG/BlE/sHrnb8gEO8SkmyfAGa7
m3nRxSaZ0vyobT7nBKBn1CJpCRlHPfSJ2uokht3axbsuribFgIDwHW3g7pvIqnochj55pcV0b7Eq
mdjha3dRAfa6O7Ocj9+8zhPXqhrMB2uY1J2Na/phnuf+p8cbXoW6TdOXqeYvg0BO/iHmIPj20a/f
FVmWb62UXydi8lM7t+5EiIybGBiZ2+RUzfbyZQW9d1/pfjHQMTb1tgu8+qpqrz6mba7/lFjgR8Su
hjolKOX2faNsFXoiE68QJ9ooh4DtbxrJfa0Z/7CYcUmNcSblcFWObfziKDHyzS9RFvYodfYA02VJ
ndmi2yOJYQ2z3irfGhnM7xjlSxD+rC26UKXMybc5sjXslU0enGFwkhtQGNPGphmaOWwM+ZG0XEFk
h5UfrjV6+0AaBu4tOJ7hNFXBQ1C2ir88OoWKeia3t1oZLdua1lgfZ5CelExdrx7VkvYPuc6veDh/
O17+a6yccZeSjXTXIfM8jOP6DmWQFxorZLSkRXcY7bXZkqEBhuF23ZiWh8E+QGN1GxEB1quIPVCl
P95bdodRMx7TnQfQ765iG3WLboqh96XTLsZTlpMCAdKhRymLTwz9E/rukzFn6q2e19MY/6yOd/Un
64VAri/Rpkf4z59o4d9Ty3EOVWJUl1ab/qE3ay9yzMq7LzXBH5uyyapNYwr48w1qh3Nlqg4iA4TO
qjRIQ/BKizrJl2B7ZTc8G32BEwNJOwJ6ZY3nokabGGK9kF8kxPmIiCdrfGpjmVzKYH6O58o+4HCr
P2D2r6z4J9M+MFqa/ug8Hp7Xymv3y9xgA1TKOxDgkZDLwrX3M0IAZvgKgztx3BguvK32vMl+Gw1d
gxEynw6afdZH3Qwi7MTob4nkIqEuCe7sulAXt2DggjsGtqfuM3X0ZD29YTXk0vF9bbcsDFmbusg9
fwgzQJk1xm72l19Tb0uCWpBvLYbLxep2CMDWtTfuiskHuApN5NFD0JRuHUat284KWKE4qSHDzCWT
EYOtt88Dc+DIdRo7EpkFIb0P/Gdj9mgYPIaGrwhImg8advPEiKLZd74V8HKPwZ7FJV74eL3A7I90
UNU/A0PH3WwP5hfvsLVd7Ck+FKO/PhnaHLezF5SUwWMH5QHD34OZ2jFrvhlIeZm28WNH8bEFOIrd
kQTT/Rj72SZj/X6qEv8VVPIdiv3mN5ky2d4k7+TZ0UbzvErbiFBTLpcMiC9NXeBegsAyP1NZBlfw
4dYDdhb2Vzgrv29H4WeVNOnzOFWt5AcL7Ky5tELiCINXWGbDi1fgJd2MQ/bNwVKeUz3Nr5OJ9nmT
eUWDXLCvP/EdtXwNaXFIE3+9L4csOYs1aS+6m5s7XAj2USXjcM4E3PTGsJJfmRpjPN1JzQvE7GVy
fdzdFGy/KrICVzLZgnJPzaMAvWikL341B4dWexo48Zhmj0wG9VvhMBmcjaW6awLdB3BToOGbfeox
Tlm75VBTr53ccnD/TKK1bhkJpITaPKoXOMVLnYbGZFlH6dEfpyXd5KHoGMqGdTaVO+z09SGtpxwF
XtV9tLljiq1tsjjApEAi0IbiPH8dUVfAlF7E1iGKuCdQraKx8ZPKvG9TnZ4N16y3QjbqoONOh4Yt
CIZY0u6JazLHyrSSQMhFnEC+8Zc3Q9T1K7pPAodLn+h3tcY0h/VwLrz54sVAPkOfLOiD4kswIIiq
+i//ibh3YvffbYvFRwAQGGhC6a18eTVSvO/E6lGFxFZBnBJ4glcxCAamJuwBTM5Z+10qHAh61daj
0BXRNQYFzzkGbfEFEzj/QMpdd9tYIOyJiK6YsivahWFftjbF7j/Byg047LBLlitfKCN01c0GTRXI
KS71ZT97bnUobMO036o47v9qKy9prZkc1neWU5FDQGMgJ9SNmYtcNRbesimXops2VNKG8YiUFUKz
wDV8oy7I97GaK5IWfftarnZwyIwMK2+lG2j1VPh5w9sulb+lz5xANUzYJ9p1HbFsFlmQ7qp6Vpuh
IXdHequvtkvfLdY9470b2zmTLKpQqK+hnFr8z3B5QH0G/WumJYxRA2bK1CJ66g1//ruqYIWqbDnT
3Wo01W9JRgOcEgJuooUbFgHmpO37yqvWX1bt9H/hYLoP5iqNH7709mOMgSmEEO+HO65CjoF/p0ZL
P1nOfeP6IIqAju601OY907CE81xX5bTRdpnhhm3UY6YD8wyDOv/8J1jam1r/d07OAdN1Du5frfCJ
O/Pt6ZQPqY+PeTJqRNCTqz76Nmg2JZSPd1ZKvFe6zGj0sua5Zk9/H3cyKXaGb/8uLQZQNzq1Mzgs
T5hn7m+I6qIgYGeFMkA9sxrJNVu88mUe52Fnmyo5EagkMIQUBoOPbuy8EMtGv1vqdTguVWttlZF1
A4iMpvuFaE4fcq6vt6RIoNv4fuqSSTCJ/q5b8+KroVzaTlMzHHhVE9gao3iCQW+4oDsGAhxnXING
NMxDXEfzvMQ9cSTEjjuzXh9yIWgM6IZ/W7L1j0xXcYTo+U8v9J+uN15NWoCwzLEh2aC1N35jOztn
4gjFbjW+dSpJ7ogbC+5zsAx/tHcTIa9NthCtGHAzVBTWoW9Y3ogmTtyQ20QurLMy/vTIB1Hwevbf
3pJT/337IwAcuROyPjLyUrl1EcYjQdAZrb3LOhMDn704oRJAh8kidGE8xLTg65vsOiJKi3X6nWEQ
J6zUhygzx96Thvn9MHAGS76seIMLnrCxoLDHkx7a9dhhFgt5Oz5Mfhc3JGDD2dCYFHt3WGbi7hJ/
3nQLxKGROVyyD6obrMqfHoEt2O89X/odckeQAjfmGjuuZst0yX7jdoocA9FOmMeLPBtiniJqGage
ZeFvbkzxtK7aUwBtI4qHVv0s5cy4rRqNfazodY0ZoYbdTgM4qXrxsNeNvAcG1rSekjYJYVVYUzjM
XMlDYc0IKlZj35g9NJYOMFaYjJY6I5qpd6bTeUecIIkZctKJZ+V37jejjDzYTLkPsM3I5+Mq+msV
d+kTlOewCoy+pAcc7Yc4HqMh5zlc3IUIUt8ndJXv+AAg3nJYuvoTT2wanBodvE+G7b2lq+veFUun
MK2ugtFsNW8kd+/dmLv2g69Hd+NTrrxr4eanCvxVRHGgttaspygDUB86QTBhBPVhcA2msWwD0iDo
geivLh648Z2jJ43pNsi+k27lAi7jLrIla7QiS+rXivzBlyQZ16thJN4b+3pCZj3yCAhdGlt76ydm
QypdLmzkPMNNfZmVzGBL63lYCC+zlgyGgDOoo1ihbCubHNhu6nK0nQVoPAeodxg4c5XtJ2pJ4FYN
YJEMfVEEaipON0HqJJRbC5E46GWIIzSIldoFBGqtoHygNrGF9tdo6VtV7frMG6+D8M1DSXlPUArj
kYm2y8oSAOqTccnKJT+3TRPf+W0FeqLpys00Sfd+dur2cIv22Pkt8QlS9/RAPSmDXZwrog6bJ4jx
9qvAmVF31mfWuF8BktRQkveakZ+lWwgMABQ2NY6jYSkf3DGWhHml5lU1EqBKbft31TKVD1lfvNRp
QPBLqVOgF5Z49jrHeRkJ1jiCX1q3+AefYwvzlR+70xVIjHkYS5JwZ25SmKD1TY47XmNjTZ7dtar2
/YDUyKqYMjPQtR+m2oG04qphN/YYvVmGfIx+Z56wrRC3E1dwvTtvP4JeIG9i+DvQrfws8EhsZczR
DXEdzRJhHHFhYZGp6mhaTbltMe3tvRR6fQl+u+EJt5Ptaq/pC1S0HU6OrQ0b7yjYdW3Npf92+mo9
JdNkP/rjAOOrK5AKhQYnac38CQiFOe4aEsjaUA0WRiL52JLvgBOrUDrqZE8sLsCIlBCnvFIIg8sT
oaSE5RnbIK/POjPGjyqQP6NvJPvRmMVxqQHLDZhBLqPZRU3v3lvrcDAU/V0zJM4Jivgjs9+G3cEt
6ji/NIY0f6dqnTiaaIetqZoZ5+vlxADstQgALijTi1g8RFYGTzDRozrakICSGkH10M3lD2nEWQSh
/HNdk3uU6gIdYdYg2xZWQnKh8i2uA4OoCUkLtMrs6FlLj0czACAdDjWbLEoP7yQR8+EMoUF2ywVv
ty1Jp8Ilx5CSdkISxvVZ+zgoK104G7txadrHeZdw5m5MLynwmmbyd1PVzrPbJvW4TVIrJSqYyJad
s+QDzs0FTB5dRXonjaxw90B45EenhZF8xfwAr2enXPreQLzYjgdxadJM24pFbwveWxJ5Wne7+jeb
LwsKRhkd3r7YcOLnVtkAmcagwfHsW0eCiDeJD7+rlRZYnFrDHzlob82+Yo9waDpfHqkuE03+ggM6
Z+UIgiD4SjJMVKGQ6NPMFs7kyc3oT6KEXO/pIwjy4hIknrSPrLORAC4j+xEWtPl9KTUeomKeo6m1
mImSQAoLgPvQJQXpdp4GkK7IHbvmky6ex8HhtOXcqPd2vjLTnIgMQweSud6Hqsvxa2ks+fOPrIbO
CcYqnALqZhzzdWQR275boatFsOTFcMgl131p8q2mGdR0i/B4jAuJ0e8Mirttbk1Y2+fBu/NcyQwf
OgrwEdzva3l2zQZommofsTcee9zrWFa6GxLgUXK/w0N4JCHn1OeD8eyIaTFDJ6mTi6QgeeCJSz/i
Nm/piNtw6hPz3lvAkUko+MliqUOpMdzKeIE+kgd7XQWfOtFX2c7vyBVnFIAxZUa+YsidsYImmHT2
Tt015wD3RuR2POhVxrARQP5NZCPGK3d3zQ1ZMCXLCWDc0gbQqQ6GMyf4oXT1Z8XoFXUOOUq3GO0a
YBsU6pieCZU+KhOXrZQK+uk5IKvxNRkVfrnMZkhdyvacI2Awy+Kht414S/Y2qXN+ypCib+L4nX6h
Mreo0tqNV9jrUTf28JmJvK9wCS7zacWGlUQadCeFb8ZaGIMZCbZjwpGXRj7zgiVPgsNiinFj0upY
nD9VczbLWj63kHEotJifZiaELyhqHz2kgv1yw8EwW50fskZ2GyLT1/fFo2urIlZZTDZcHpZHt6ve
p0nYl2QVcbLrB3v5VGZWHEaq4wcnGFwS2VegPliyKK0J242afAnMh7k0TAA6Hh8DejAj31d9Ej/a
jIa+6U3pQgi7Omc6qRlU8PnxSRqpJ7axFOUrLRxWja7bF/ANQFSYJycw2Bf0unithhbHlJp2spre
hh7rBRFBryyQ90r43qFkl7QdVzKbzQVi00Z2khl3bjyS9jBsOVeyVzyt+G19RWeiedBQiprd33rN
zor8JXziC+ls3aaeSiBDJB3Dg3KKaPUzJvC4pFPLJiUcpQ3BSJYiuHDBIMyRO7ok9MrstzVaUiFq
VNOBiIvuHXoHs1XXaY8yt9ofMEwmOiiLB2TKOmKzKgKfn0sprDlqxVAcCrwmDNfIOvFSv3q1Zhei
D8haDbbEASZbT1grde0ml7QtzoOH/rsneAw7W8vKwarKw9wFRMx35niDFFbTel3nrD4gPJvIVUp9
6wCGD4sZ3H3WCTAx30kdy75X0YmoRlzz7KpYMyeeSTOT+PewA3v6iWBgiFRWTCPXWDdLsUUAi982
zrGztFMToDIV54k65k4TekSqI6m6bNPSecGs9o84lsG0iFcY+MgjHM5vRb+SpOqv/hb3PjZXX+SU
deTLe4prcErlXvZUUMCiBuuBDq4J046tot607XqBgdfnmfGHrCUj6jwYosWt4p1WK7ui12vOdqBH
ZNJl/pSvq3vgVbKfAsZBb05q4ToPDLnBplzT78khtNbeimTRgP7K8dSwyyvu0Tk5lGWa2jlupxMn
7hxB2/V3I6f03kWFjWe2u23G2lj8IlpW3cVsgTaqCFKoWLZ7HcFigXBr5DcYHS8OmepxecCDsOFj
wPVIJxAkZTpOG2ZI9sYESRaqwhjeuyyVz4Ln85IqwaOUkAA4EXR4lUi1IC9ZhHJKG4ImhywDKu0c
TUh1TFOKJdv4MEKes0oVe5xWw6825qxrTJuF/lSjbAsXM+crrjD866isBZulBI8nCML0m+xj60MC
2nxcLHhfrBONyEKoCHbGlhFkHx1ZZuLySZVNlNf2ckoNnysnaTTfnalp/S9jMj7I0/uTaM9+ABX/
xAPFtJ5pUlSVQ/6UGqIaN2Pe3ToHJ63mc7CyugbhNfXjvuHwTKO06/WBx7qlfLQZmU6Vn5LNmSWv
XmvCbOci0uamCUg3hdLleUgG1gBrvYgP0qu6byuZ8C7U19izh0eCV5ZjbZIBSxyw7qJhypHPpEMW
XxKGRc88XdmvolbifbJsMG4ewZyJIZMdKaDro1s3ZdQC9WWBumjWzqUw31FdDq+YwxlM+RWEgnwV
/jHtrDZCNpb8CZLV36iYCEFCgZbnNmjVfY3jdcdtUW5dr+vv6tlU9KOmtli/iH90yWM0Y80/GTnd
l5WU5Z1cEnEkKxOYH3cIubmlv+x6R69nBi3DcU0L46tIEvcNX65/R/wqYRBG2jOH9dL9nOXZTgzu
trTm8cfAL3L8Z/yQZ01uSbhuBixnmp94IktKaqf7gBuXf9sBhNEuTdZnz7M0nD/6HbVZWB+jYNgw
NQ7RN/LPginJywLBcYxYbvhzZOqhfxZz1Z8dwvnk2fRrfTcsAgu8NKZxK+m1Dm2WskEnNvNpsVNC
ug23EodApOVWuQMaFaGY6gW59xJr2zqningtS3gMbUpr4n3m1VMJdB4CFsvXtKuQkBhIqNa+eTAa
49WrjT820s4Xkl/bazM68c5o5uxW1SL/d7LszSRk6HEZE+/Fngt9hfpG/lx+mRi17iwnH9+Lxu2f
pLDnd4PMgG2OEOVkN5lPylU8vnOsvLtFaT8sxq0+mKribBeOdarL3tyXSVo9JZApo1jq4kdDg9y1
k2VGXaUzWhWT0wGB1YHeMCOXXFlDGiH/kMRi9u1ed/76UWFAgti8rNZ3ZRvUY70yjbCkTj7lmSTC
C7cYzp662vQuXvJEATzG6IM0ogYZjhFRHSvlMvdxh313w66oKSZdyhXiXQaEmzHQ1DGOpqwSF4at
2UmvWNCZ2eb8rt68gwFRHBPyNp6U1/bbCmsaPMPaP42CkUZe/8XysXNn7owSSOKeMjrobgHVLYi2
FFwFBLxD6zI1dv3kw0/TH1RKf3ymrRivvF0Wi93sIVGDrZTvVdv8KdyigYJ1w352ZVjd2JPF4mzS
SsMDSe4nr3mbR46defU2c8liyBCLyd443fLKRqNwNjrzxLHU6nnpxQHFUOSZOj0seV1GICRRILAV
gmkws8jyR8Y9VY9b3TIOq9nelbYDEnW5d1qm34tw2QjxWx56f853zpCgR1ZrRjM5jvmnp5ZuZ3hJ
/uB7WfEM1Nx9kTUdY7NiEXKrRuz/19qY1I2s7rewNpMvI02dB1pgc7f6SbGv+6x//Yc47/81xO7/
o3AI4fI6/5tC8ZaF8j9iSk5fXc2PFf/DbPmvX/UvJ4j/X1JajPAC93/7q/9ltXT+ywwcSdCDIJoB
+yT60H85QQT2appK0wSOJ9B22/yvfzlBhPgv6VmCvBMCJ/gX9//KavmfGlgXQSVaQ3h0cEsIk7z9
/3/TU7q9NJTHib5Fo0yO5fJIEP1f4VOE4IQ24uGim+Jv67Cs/bdP6f/g1IDY/h+qVNf1GatI5kCs
F/la/sNbkKTSXt21HLcuL+2f2PFMbFiOQ9MstUiOlrmCK8g87Mqhlxnrde7VXPJqpSt7pF79dWTA
ZVssI1KkuoAQ1vhLc2Iij02wzYiA2yQJ5MqQ69l/csoWQMHIu7izZYwsqkN6srrauzOSgSwmuF5r
WC/cqSVFVji73eOUMHjCA/udQybbMN/a5ThOIjoCpDVtfV2qW5ZsYuLmRnE/pOBMnbnLr/YscFnP
s7bPCJ/EU4mh4ez1ZIgxA8u5Nfz8JQl8/rx4mfs9vvHqsshmW6gcZ1vePxSKj2IOVrFG8WwukFMK
0irDaeEkZ0emv23XcF4Hr0dd348iecy8oLuXdSVZWC5xaLkZJ7WymK4iJSX1GVzrW4YI4epKPQOO
TdWGhLW9YNd7IZTa2cQker4D77STqOgc48YMt5vI1ob/OBn98DeerQC/WUPaUZTkQ/AzqAk44DK5
6Am6wHydEXHyrxbP2CZWdnrtmxayX+0sbC9LC+VTCMl82kNyS0+WbVK7slgiaIS+2zake56zynk0
M0Knt1axyCc8rh529N68z/oZ9ZCasXEmoKeJ+bzxvdeWSxiVJdH2Cp3bvnHG+V7n/rBjdlFHt1pu
l2fDeqpnrV7b2vdIX1a9QVyBLZs3C0INCfaGDyK2mBR4MF8HzVNiEUMfpqShEiq7jEO80XVbRU6v
giHU3N/Qvc0MJhyY1zdwsOhGwOmhhqZlEcPM0NZfHvl5U8skqxZ/pIEBeJuw+kB6PQRPqTsxuzNh
gstoZL0bSaSVR0Ig0WP5dZPjidJmQ8IHxmy0rB7LqiZR8k0uDHC2a7648cbVNQv1efARPnc9g/eG
q+AYw/VnOE7y/MM4psNnW1s8SEVrvjMYTv/Eg6e++WSya08mwqNXSCjV7VKyL8+cMX3nBgdJlY1Z
srMoosFBmUI/IbfgT1mtVKAPIkcxWqCFf6L66O/cNYefGEN6i8NM56ja4MQvW7SL1o5ycXm2mtW+
1qD52s0krGFFAXFLk70xf75RbLqw1ZJJXXQsgs/eh/vbZXx6W8fvGhQdQKPpuygk9YD2yxtHMd8s
m7B3m6F/nZIAtI3FkPerzfK2DhU2qo0QHcgHl1WoSdPaij9Gn4nndCB1nP1dfHFn23snj9dCwwZE
y9hYk42MhzR6mmahC7Uda9qUxm2dbb9AyQwTpMtYlXK3AF5ojzAos9QH9ex2Jdpjd/YsMA+uu25T
6Oh7kWqmthSqAnsbw2+SGbXeQ3Durszy2pv71CxPK0AzcdvtcIoU7JMmTM6TQQT1wlhFFH7xli9G
QECEyQieFFav+TZNklw3+AyrA3gsClLkbN7CSWh5x5GUAA158qYpUbmfPxlVmT5ZgydHAkAkmuu1
FtMlQ/LxxreUFb9yK2YoviJfw3G7Z3C66cZRzoQgVFaXUqAmWlXvuqFy5/bd7nEacJiZy8dE/NYn
hznfUVbP5JRgVEPTRb9hoNbVSQ4jbVZkXxps61ck39MAW2fmb2qw5bzFt7AK9PMAVhdk+zrSMZjB
TWGs+jwNsDNKsyPgdmWXjeVVB8zSyP2yPrKh16CSRymZQAujpl2nXXzIYVg/GdJXrz70CyAVsfb8
bczY/X1iYvvTJitbhSq9tUkZLj8GOhZ2KSTY6SqZu3VLchQxq7vQs+3iTC9kpk+Nib5rS01r3zXa
TdJ9X9qEhizE+wLvZ9uvHrqmypiptLnxNcXdHEe0HB2511Yd7/qaORhDQY9tjt0C4YcEneCSIZ7B
iXhwOuYEDAcQiTRGVSCBREfAFpfYTXeRPT9FSIahc4eiCMVSxS/x17sg1ypSBIA88CR1nx6Ksgej
6Lw3GtbqTjOPPq0Ufwb3nFse3HThBi3qcflV+YJDLyHx+owjyAdjDKf5da0LSNMLvNQ2xODl/TS1
6z7Pt/DTDAIME1dKbrRfo9f9XUadXjrXVmmUoeHeamAjZx9aNpoYFgQ2cslfNTQsRHJ+k0W5x7WT
uGVShADYiS+pGQd6Yw+cniAMnPvGFzK/8zilMQQAE8TdSiH1mxTH8uzERD1tifwlRxtZjYcEU0nP
PMTwcKG7jn78ZSYLQ6bRHQgXadylFKFPUtov5McQcyuf1APq8tlH0Cn42uY4Xd7t1XZfOH7VE+RC
UqjMeflouJ/vXSuZETuVFtyYcQanK3rUjWFiujBVCYWAd2mNhGOi07pB4l3D7D6nUQ5P6BGJWp9j
68n0emR4ICIiP87WV8mL9E3nELOWYIsOUrDcW4ztFMw7NhRhh97tZ2W0qCLZ9p4kf5iO/vZNsy6Z
04K2b6C/A20oyvuW2cSHHNP071rEVRqJtGWmI1iw8sHl6Qo2YMC56BzX2UGd1yRwaBckJV/cLtmF
5iqdObaQX80oqTtSS5tBITgO277wHs2YKz+iZ3dmGr0aZYNhdw6DzVFuZrvseQloe+begIRrBfG5
0c0vlCHMjzqcHmkumiireuLTKQzalams4enTkjouPbudTlG7EG4RVTH8QZXO6DDBe7JQjJduO5K+
yxbW8r9ba7BPder6Eh6+SAhMaYL+gN7DvR8dQURz3L4Ws+389gsrKLHd8JhtA6tHZyosigSWnt7w
13cNZCzt6IFRdzLpX03bTcDcahvclY+WoN+k85jzdtojME/2YEgjfV2NKD79vKD7RADVnEbtOL+m
oeWJqpDgUAhBREdkx7XXlUTNhMwDuS654MXfrmCjyTldJu9ZRxhaZIzO/Ohm6Bs35lLpbZpheA3R
HwgcGnO13AGmNH7HWTfCS0BXDq0D00REHtDwabcoMsNyzIzPxHAbN7L7JUeIZ3MKBFYFQk8gS3qu
fYUGMNGK2sQR6/Q6FThZSSYGfnaEY2pDL05ixvxFni/JA/EP9tWsyZ/elZM7ge1ay7ZDZI5Ga3At
7wefD9tFh41TUJSbrlVBZA8kxaCtTX9Ns3XT8K1UbF2cirBAYxZqc+nQ7MzgqHHBAUMdhPG9iER9
EC0CHLpmFEjmdR6sfpgMfrVzMiSa2IxwLayKP0wl1iPpTKzmXJluKvSz+IiWTZXN/83emS1JqqTb
+VX0AGIbOODApSKIOXIeq26wrKpM5hnHgafXR/ZRq7tNR7JjJt0c0822tr27qrIyCfz39a/1reoY
B+4EayXznYesMQyoeZW/F31X7Lwgcjhyx+geCD5qnodWuvchJQeLsN54Eu0vnfbZrqMqnk9Y7QX3
nuo66oAmTXIiK7zHxZrTemcOQfJkzBZFDErz/eND8TpB+YMhCsW+Ovh9Nr9FDpykngZJXPyLO82h
knFvUbHSqC90PfXbSVC4gbv2SQkoMDLJtnK7+bJ9PLzbhds1NliYUJsaVjfisD1vsA8STogFTyFb
XF0loaVm/ZUa7ICapS2f9MJLZdNUUaNCREHWflEVszeMhmESR+XYEyTgfJrPDg8iQ29RjtwDOGkp
niDs4DqoVhxjVVvclkzzZZgDYDRPbld0u9iS6VOTt8ZjPS+siT3sBjg2F58FH/k5LSAr10FGlNlt
lTY3NL9gkyyikfN+ptmVh1gGzzXURpsgGZj9DQdl0RL2GgsnrK22QLlgaYtXEu5yHxrOzLfWc2o8
ZmW5J5ebkxvPG/NCcigZd0O/wvtiwKJvs/KDHpusSj5zL2al3HoRU1FllIyIljSR6mMt6ldT2cWz
7k3/j8CleARCODUnIl/Ve8XNuMbL3GUfGStFc8811r2jDIu+bdugaYQ+J9O6BPHIeBhQ4orZuKIq
MRx15PBycFhtcAzX7QOWF7A2Q8ljyFoUH42ENAb8ZuXgiG8kTvGNx5k7x3z2qs5mqVt8AicGo5Oz
cUGc/MbrjKWRxUd3Re/ITru3ED0YIRNgI/45LX3zDHGXBy7ik38aMre7pwYJwdXJHRzkjss1b5wa
wNxQmU7aj7G3GnX2B+0XODBoHuvCLdl9wBIKMZfiAt3Wp1KI5XZKciyp4N0HLl+72tYIO04BA5jd
lLBisdFC3vV8AO5SaAL4XYYGVzAu+tpj/Ojqsac7xxty0uVgyzBzZCEBKQXARptkeKj3oL6oesBM
VN6Xc0d2zWJqxGs9dxF/zOwU17qy0p3B0oYKHJhm85RJajrcnuaP4kgow9pmzJdxn+v7Snbmq1mV
AowjRGJMPf1bhSNuO6RCPo5wpXbgdue9W013XmJMGoKukniQp+DE/hrwisY1SluHEZgh7NYUrkAO
arRL/WVndkV1i8stOC8j7qdtHQU4KHl5f/q9d2hxyH3hAs/v4xFFcBir4EdtjP7ZY3v2LloZ//E5
QLce3yDi6nSXD45iW9ikEXYtfsfcuF+k7Xmo4g17sTHpm+eyG8yjaCOsepqu9+eV4X4pIqq5xsBo
jp5Mxheky/xnpMxFs6qYja9ReVX/0865BjEApKPYVxEspAP9SRomgSOmcFhDGVRaN8UfGm0gEREy
ARycBBxg2WSZTAPNnOt9MTJN5pkfPAAM8bO95bd0iLl65I5jNmxZFIv+iGsmk0KYr2cmttHUxRlE
4ASTk63zkBmpPzffr52BL+3HIMGRr8nKyAynyeChGE2xuEe35JpAzN/Gpy1quFPbxlNYD+zKkj8H
7HqfjZuKKHREkM+h3/vBKRiDKTgSI4MmhT2YIVrbhfz0ae4LU5ScS697fQtGYsF1YCYMpsrKMHGV
DilUJ25TTMxOfRyUbT86gwk5NvZNXomRj1MCdmdMpLLp2T+lpTe7QO0jLudZUY1iI0dhXlXXsJEf
RqanwackfF8b0/AbOdsfDv9PlM//dOW5lu2ujJV/n5Rz/Ojmj+qf1dG//Zp/U0fpwg080/Q8F7Sc
8w8Fup7zF9oeggrRa8RJLh9/V0dpcGbrKiUUm1Ua/S53/h+cHO8vqDuUO6MtQoCh9vk/gMlh5fMv
IiWrZUQ9Lsq2Y/ow7/5FpMwtkYg8Tyosr4hhxLa1t6cUkMXZwo46Zkf0gztocarwJ+eboCVC7U5E
pExQEcduFMEpI1T4FDj8HuFI2+prrXzeNrrybpfFdF5SN+pvWMrY2GLt7BfEY/uWfOd0qvjnUZZc
ggCVEb1eF/HOn3xahNr0LWZ6gHXiGTsPM3FqlNUXBiOaHX1ZPBMy08gnpjiv7X33fWuDkaQlNRwS
UCNxwxzGOj17LX0Xi63hR69UPHGlzsp9Spcrdky2qrg4acYZyddn2YD84HHSubkvtnZGI2Bd+LxW
YvD0m4roxi2u/eqQ9kSbnYmh0m5VvrP9ia3vgHQ5Ttlwq7Ai88r2Qz9xWd6l0rwi9zY3GMqN81SY
DuaJZLx12NzvRy/Pn0Z4xTfYxpZd5snqthVOf4qL3tqxnhofi4r6JlLHqK4Fyb5cubcRr+1b2U7j
oZ1U8MPCFMNcxtYv9oSzM0Sb3xWF3R3d9U43dM06ew/LB85XvJJp1uzrola4EdaVFyhgqkIG6kmh
JL5EefNVVUNDSH3o2nQ7lbn+YQ5T/DqskNIZZNhzEKnoE9wHOxjHX4GX6Tf8ciY2lJ6kqYiTprjm
V8ccDE3nm6fpL970M6Psw9nnkZPeVz7pyxT95BIYybTrGogbVK/h8whrFQThTLoQF5lhG/7WQNOu
N41aqiv20/LLWimg0WgJ7P21RY0TvsMr8VODIlW3fcJUX6BbEPjDn/nFGV09LMkAcXiS9g33mTgs
jWp44+yOd7y71Zs3ZukrjXVx2DNDCpk1l2zU4ovUkruhzYYBKlOtqhHy5ulBiOxPkvg/XdeLbppu
gfE0edGF8LobKl2t7ZNZTbI6GmzqrjwPO94IPeQxqclQp0s/n6d28e5IZR6Ie79MSWVhuPDi8Tq2
ovroetoPZtz2xzj1k2s3NznWlWLHPT46wmLDObxe9h+Ytuo7PeiZlaOczoAV3R+J3UlqSpbReCez
l77GTZGfqlzrn4RjTGSckaBZQkir7n3/ou22D9OA/IF0H9LJah/tcSq3gSrGj8xu21d3spNDVyv7
RzM28WlZr5vsHCOM8DXO0RunBO8PN6NtbuMe+ubGsR2QMAkb38Xrmjt3Svv71G+at4hMQL9JSlMx
QgiMFyYWiX2GcE6Qc85oEXWsR6JfFrI8b4c7isbpraLbga/XLOHAjsLSrxCtvDNT1oyF0qhvMIbS
4Txk4i5d/P6mqbjtDgDTz/3orddfii7h2TWNRE+K03EXFXQARnlnffpyHj7hU7Y3rKSmLiQStFhb
V4zFbqwqIvRV39MrrKWpX8D0Vu2BjZJZbGnjy72Q6Ydxbs7wXkR25l5ae61HUxVUWFF5alcXLB5V
1PIerL3BdMPGYSBfeXfNbkAcSvcL3MTbwbfwlpNPtH94Dld9pG6EwxBIeLlsuMcYaPKF5tLUpagH
BAR0ch1wBr/bThKX9NzF6mEyxuoP1tdVoa5i8dPBnuduqqZPfkwIoQ7p/Zz7qYf3BKhCIRh6cGAP
TOtE1F4sk0bAvLX0e8vcU51TalxJfhg1QqY23eowlD57IHo6jV9xTRqdBH7jvavELRleuSzcm2ul
n13P60tbRzMvRtpxU/qAqmmvxDirgy/Mtf1OBMYPmUyI2fh8YI3OVj9NN5K9hnlMU8HN2cace6sL
aAc70FMwtmB8zMu2N3TWHWaqdClcF279hF0JX4PGdMfFF0Hylwm1Ha4hBrDkQn5FDE9NYhoXr1vK
vSqbodt5KqFVOmvL+cmMWT5tHZGrH2nHFR0PIsacjVbaSXc5Yg80T0OSEQGuTrNSYWVcvWyytAKh
/sxFW54sa0CZ7tHovzpDVm+YfHtsEf1cbOFT0H2aT23xmOZe9KZ00N8UgfNFSK8jGRc8OgjM+Kbp
W6Dor6jlXpllcFaumn7OkCUwxqlR/mQaJ10es0g6mTLGvJQCZjnE1ug9RrjP/fs4j4ibsPmzsJwS
X94HGVHzXeeRWMqLYGCt4c1S01JYZi94p6dLH83xq+mkZGJU4fRhw6JWU1Da6U/2lsy2AS1SJINA
3IBsdRFeR4qfBqgE3WYolXsyjILPfccH4b1B93qeB5lfaOAQxqol8QDWUHPmA23Q4yECE/KiaA68
yREOYqRvM0t3layyd8xsfM1e4Zdnll5OFS4Ls+ymp7f3DB+rffNlVjqn1MsQFCMaOaA9BYh1287s
0ZkqfnAUg5AwMcyeL9Ad4+JPa4yg/aY2W24rg/XTZgBQ9YYRQV14h1ofpjXMb5pqpVPBng7/7NoL
VRtsfwBpFszqPNzqB3TM5aEfaTPcEALG5Om6xg90iOkiZt98KauBQ2+c3EOUVsFrvExkapqgeEC6
iPtQT+4YJoNd3tgF+KS1akl/8tId7rKIncuGBtHhdRydGXBGatc/jbxuTgF774zPaGM/uSxcxg1v
ReMXaXG6EHxsketydFXUReQzKgRqKD5SLOTNwRhHcnDZMMNsy9K6aw8ZLpf3oeyQVyuz+vQSthVv
lo6w0XWz9h7ZtyY0nmj6RrsxWxSZkzq/p28DG+AQyfWWGhNOi4bSXrvNkgc9JJiqe19HFByloZUt
xS9+VhRnLJPfvOp+4BQY8UA7KHWPeZes/n27LjuWSauXKIcZ9kAdGnKkaA3ztcnI62wX5XhXFtvI
7wR7PCB6aReoqxcLij1zdKgh5A46EM1BReJURAjdijyJ3iPJSrzEMM/yruC7SgK1eVX9JB8GnQak
u1J+7llX9fcW7dM3C3taVku+0z9Sk9U8ah+7FHEUU+xlZ/l84mGiwx2Y5ZUUrL3KxA3viMidvaOR
KWtvIVIT3xnzdJct5sBEayUrTb3L7iRllRaLlUp8LBY+GYN42Srm9Oat7Ca+I0GRt1fTnPgONU6T
Hi0SSB95Wti/BW1aeKGDbHgNyBPx/U3mJPQcL/5NuSNLjUIFrylW70PCAoyX3yBu88XOborZRZOG
SLQcMp25R05aPIaltGhgLzNz9qBL9ME1AgVxmZyB+zAd6QPJ1TTpfxJYQkIrqt7+Kpqg/IxUZp/d
yIh/LYOg6S7ucfBRI42iYJunGQPz/DcPxP9tu8x/vkujhHX2v7s0Xj67j+Kf74x/+yV/vzMSgwDd
ZvF2WvmZ3Nr+7qhBxIMczdO2ssu5/v3dUSP+8kxWXlDW6BaTmFH/7qjx/+IIMnHUrCzUAFyp/I9c
GoVcsab/yFujTlK6lmsK7DsYRGiO/CdPDTRoQ+e5xQ0oGnC31Aj5qpZMAJRSqWuVYXogeSMuEr7A
kaTscOIFkRP7LYPmBg/l8OZo1g+bisrvd9mgJqKOVPWpWJu0N4Gfg/ZqcUHsY4yxd2YySP80SqnT
a+e29W9ncdWlrzCFAAGX7KRVnaqRXjHwA/QDJhCZB+QzwuFpkxFG4OaNw62I/1SN65ZYkH1ph76d
deTwirVRaB6nqbpoLBkvjKUZjCw2TFd3MaPL0gN3OVPhJd/aRQt6TYT/3CeGvquXAcv0uPpCYHbF
5xFY62o1TnrSdXygz8Ki4Bk8VjVtcOWnGCyIoY1nwdrB3BHe6IyznBPxZFZs3vY50OiCWP9CPimP
LWYb7ZoecJ48maK7xON+sHOThY6punQk7IlWF/qOGhmvv8LIGXqOC6crtk2dM2SwxpoggaA9wz/J
yuarpRj8KpSR9jsznbtrPWemC3+r5zSU9rqWdXQ2o9cLToIoF2myR6Ivhm2VDqttODCYG6Ru8t+5
US/NabZUARu6z/kDnJjpwGRRcZcbERWHlec8s38aj3MUzbfsf4N7AfCesGaQddOu7836Rdg2dZrg
qqboIGO6k4lVE7Zwxm7isp57D1g75G+0MDvdKUkaZ8Mek2+NT/6eHW4mi51ye/HWqlS9oSY7414z
4PhoCVw3SAF57YVGv+oJvzN5vsxvQVE3rHX0yZkGqiCiMmbb9622ud/Km1pFOIaQ+uiuwlz/rdGN
q1yHHIlyB+YDw1FOevM2W6W9YBX5YmXJT+db+YsWF1mdxT6KYB8twQlcQTaH7bdmqFb50FmFRIzN
aIqlNG1wcUtAHEx+6476W4Ocv/XI+VubVN86pVoly/ZbvWT71597f5ny0PnWNyGRcVWFiKG+5LcC
ioxZRSROVmWUoUIzwK6CafStnZp2FT2Uq6AqvrVVfBp8BvW35ooxDv0Vj3V3bQuZ/1Hf+izOBxI2
kau6ENsJi/QN9nGfOmN7KJ+CIIUoxMoqzzYYoQX7MXYK2WuzBLdgBacdAo/2mKll0FxM0QY8jhQ5
zp7OjmZvZq+V0DBWqnnZeamzXOOgL9izoha3k4jabZprjyJX0rnWCpKvXztth3AQ7KPljhoTtD00
GQVpZfUUJ9luKPp5pAGERfep7NaQH2XwN6YiQYI2WpmaPwAGHcxyI21+2dyermK0yHdwMyjV2RBR
Pr+6js/5287zCL7HnieZ70dFdopd4ZhhWimzHNi50SaPWlXyV15gCw/Z5sAz0XNRLXdpXljz1uIj
o/aB20gzZNUBwmETBIPtn2RAyzyhGFYRN4ZhZK/DPJB+ae3BRdaeWDBlGzfhvnakjYnXPCz0BAtX
nFMJ6xtt+1FPzaXqV9KHmQPsIWuCk8pm26qcLZMrf9vNf3XhyZuqUe0uL6fmvhfjcLAaLt7fJ9b/
P9z/T4XO7lqf8e8Lwv+t+pN0H//lvvv489kn/1hRAu+cX/m3I953/iKXF0CqcZn2fWelNf/bES/5
L1hmJfxPH8S6+z9lYSv4y8JV6plk0ohVcfb/myhsib+koKso4LeTjqBs+j8gClv/eryvf4SFIo0D
F/es+6/UXcDpxmipbNh3KqY7M8Ek94x2URETrQN55xCRYhtq1e2ejEe9d8whg0gSu+E/fNv+Fw5a
puAVdvpPgwYecMYgLIs2g4b//ZX+g3nXdEfJoj0Qu9rq+9fcn1UYySA6jXEpiDKnwXXCyEWAcFNG
BImaGmQpHDUglkiF/Kt0bxDsP9R5Uv50kwZFAvsC1kf8DGGJL+feHObotAjMDXMQqNsEzh/Qi5by
C6c1xEPSd2x/0edOMJ67rUGIedhOcQECrMvJsrrevKvoXNgmptLvlmBpux8kydqMHOtFgmrjky+g
G1DoQVZIKyLEHXeaD66hFKxmzm2Z2saRyy80qYWY34fpmsWNi32Pt1ZbKLKMZnuZKGhLSST+su2B
cjMgl88QbxASZ5vER66R24oc8wQYK+o5aGz+NXh+f1JEvO4SZ6BMpbZEKBNf7WHTDfextFljVWKm
ysk+F+BbptTAuMJF7IXaKWiAmcON0cks+W7RHr2tJRpxwhCwV01un3BQRpAdbAEFJjb2/F+oRKSC
Jax10h17iM7X2LD1aaQDAARDsa/mmJMQF9BlHgzglpwuu4Z3JxpNK/KtwrS/52Bwd9HgzLuYfNCz
25pNGKQrij2G/VNU2n1ntx/turnvdnZn0pDX2wt/tfZ+ybnel9LQN4gn2bPSk/GmdTvuWUNHR+Gw
DO5qke7aGhXIXrrxT1tmIJnKvHpwELsQ4aShbnRTdnRZ2k6IbWvfTyQtk/boV8aFwlQ81JMh96Pp
3cHAopzEZErbLmZ6EGUlcHuAdPbwnh5ye6Zit5dN6CTzalgzQiwlYO8pt+rJumCHkRvAAcghqq8Q
Ibv0aONMCdGs2tsmz4d3ME4DW24C8EscY4SpDOOXt9Cr5Y/VfFvS/hgGmueJflZSjqrPdw0H2vq/
5J+4A1SqMaS8LRzJa4BjnG9iR1PUkdTWgzmxMFFMAXdmYyzbthmnUC+c/cCU7tIV1JKUajk0eH4f
isKlTnStuHWGKNu1i5FuS1vW21Eu6T25N3LEhNB3tkhBTKtMAlsTztZNWvhnlSm2I6vmY62b5rWo
bA7vFH9bxa10VwXll62TeGfpoHzGGo8ZY+48Mmr87ipp5XHEH06nzeScanfwDxUy586uZljVNVvl
LZbMYNfFpg8QhcbwLrbTY4fdeZfjp5sQcSBqwHbt3L1CxvN4RUg+a5QghUYzeTbE+7k8ZuRuznOC
0KbsSd6lvWE/UmlIo2F/OzXLcgjG2gUA7MCSZudKp5i0bmI/uQt4ydBqjKFblYQJaS2MzQoqiWWn
v8knJl/MlgwosIi3VrBEbLe1Sfei3bJQs4KjrQp57saxualwHZwWJGSSLh4uBr7sbatcKowrx/4Q
jZ+eZQabf9BK/aaKtH3kzYye5dXdT9ESQrW8DCZvLDHRNbAeK5wWscxPvuNuJx5+pGpPqfng4sXR
YUK/Gq6lZp0IE5brVKL6DSxJU2P/70jaKN3EYdIZ2R6sIO3pyJvVJopiHHpV52G3aE2bWxwLgYFQ
vZaEgaJXG6D/nVOm9bIVblBD9kgKfs5Bijf/R2n56sEQXA43wuy71x7oE63mUXwnB9ydHH7ge+1k
3vNOmw+4kquznsvkR2NVI504MZsqdmYUy0x2kO+XRlekZ2EV2NeEXs2z51AjvbOb4HMm2RQDrK/a
nVZDdfaL3n130oDwasaFaTMONqwA7s0HnDW4dwOoN19pnc8NeYFu+PJ6f3XlLsM7NX0gqGR9VyXG
WzvpHu6baW0wn2AoqFJU+oaiJOwhEsP4QojjR+HlkkhSEtfvTtkVpyBDyAtM7Z0iTZCNHAUYQhHp
gm69iEzDQHTg3ko0dOoy0tgUZTaPwbUpIyv/hDzSq0eLi8gTITp72mNtbD56PgofUSSq17pIjJs2
luC9opoDemfBuOHTi22uyZzO4JCKnFccIO85OJgLfdpTBKoTfxsX6IUc6YD300xtbW/l+vzHTYeP
ffJLP8yqqt9O6SxZtQn3kaOw90/ay4rsYej7+jQATHxSXctIYBFKCW2oY+4tCID2Ky57kM5J6sm3
CiDj75m93mloGvcw08RygWDufwYlMPJNJMzsaOAEvkaZM8Eog2H1RP+rvKnWQpM8L7wDWrGzcXqj
lY9UnbQ/uPC2jw5v6yfQSu0xQ+4l0RILoBd54kvILv50Yy+RfSQLHrM+ZXbRToSQPWrvtYd+4N/1
EFWz85g/svv1SdFgwnacPGaRXUd4KgLSvFQfd+kP7dIluOkadnZY1+PB3qW1cn9KEHTVXbaA4NoN
KdvxDQxoc1dYKxeNXCqXFGivvG4NMuLa1e9F11gvtqHtJxiA5Tmwencv7Km+i2jPeKnoE4e53GNF
liO/BbOWpqG2wkJdTKk+tLUYLpbn+PhofePBnQV5FgCm20ov9ae3xhD8EU7kVsTR+NJNFrzcnKgA
Xvkqn27nvKQOjNobYW+WZCQ5E5fwtjOL5l8dxyfKvOmB8uBQ1iAZ3mJIezf458otLj8C6SWLZRB0
YruMnJ8lKT8DifGU4Hu/Q46GV9MGPTqpWRrMYv5hmjKk+KrETNlvaXoZpguhFaqhN4VWAtbotOhz
X2fJmXEG2UBYWfLM2CCfHdYF0xaHQaUPxFCt+7ylXVVTGUIVNNFQki5298iv2rvZnB46tSL8S7fi
Qmp6Fx338y6pcaSyu+v69yaSpI4ydya6LIY9W7+Y48gO9lVL9ptGx+IQ1Ut8N4KS2Q8Oz6iTdP5V
cqMDsoHtmOhq43wm5mnqqnd22h+R68ENzc/Ce+9GbYttMUJKd4jX/GK+pOAczzykTNipb0Yyt/f0
eWU7O6cxPCzofbnFgCWXA/cxmYV9Hhx8I8/COF/pf5HrHOn/kwc4s37IMmVsb+uUl63vKmyZCiLN
FJnWfN9PwHHOdb24NzIox/vETQzWz8SeLinwwudRRZBlCtM8ABQqTlnvZvdjktj9jlD+/DmCJ/C2
cQ3rzx+CKKxgG6VhkPWeDWHclvSKWSj4u7r0abaZKu7mERuWjqN2XIkbfo+VnHJM3ZPKL7EATlRC
L3XX7CW8niu7T/M2016LE0/lrxN9zOIME8QIM41x8BgQ5S+OBCNY4wtfwY1dvVZmqrdytIwjrFnr
F/ED+97Romeu7mfzibdN4vLgKtXgcKaGrxuiXTlG4zmPAwDe/p6672LH0NMcYlagV+1SrCZUgQNf
R0N/GOVgnFlofLS2Edy1NlY7lqui+FSVF9/lvBU5/fFEUpvmcHtQczSHsIOqG/remd7AV742Zhrc
c8C1l5qu6wt29mFvOoJC4knwTEx19MVCrNjllu3dTag8DNCeWsHPnsVbtDFeDbnwDpknupLp8a7M
A7gEQv9wSR4XLbH6TYOwb2kqD7ZpsEwf7Pujh5m3+EHEBi0Ag8tYZhGsVUX/2TkEJmRswipxwR5I
N44YOhcLdI+GZ8hQkGr7YvMT2mVz7u1GIDAvjfCcneSgAXDcZrsyjbybtfTv1VIdfhM57PucNSa9
RD0FhFxuEFjj/CKJX/AiEYU6snZncIsTcTLxcD44EywWp6gApBcvUpSfWC7vhtGnU89K8m075SaG
5kqfjNTnZAJrXHvfvX/Dcle0bfl7nDt1VzN9YbGO4muy5MmR7LI+e9avHIfRMAxYRdDGzHiaj7bh
JNyloCfNyVzuLQ6keDN+E9HTGPdQqhDywKnVyQnTxnnd63RVfMmXVN7EXmxdQL6SFqHjg5xQ4zZh
YY0GI2OJE7KNrU0/6meoOgzRVVxvpc/ycV1BoQuO+UPMrv8UdbFz8QflPDhW6Z9Hs8Hoa6GIsstP
DxBTsouaPdoP7LrDTj/Q3sBjSJs5QMedMRHRqfE0RIWUByBBZz8fYJnqEArNwfRGnul5i3mEfIcV
pOeotCioF9l06YRrhjNhbe5Zda1Ollda+4yVLrxZt+u2lAE77FCno5O2x9Zkhlic0cfLgN8Cpntx
ipaS9x/GwFcrol8AHPhs7GqE60sSt8G76TbOgeWw9Qbe1dkGbVycm2mhFt6w4psClN7O1cEI+SMT
P1lI2G/E35tHJuDsRNoDNmkVrVTXxni0RkVN8NLmvCtdOq+g/eBfgTl+g/KKZ5Wh7bdlWVyhrYZ0
BM7HP2juLiDs4cry9kIthxvOZvTLnDj77BlHU056MDWe20wZbGFHolps1I8G6bzTJFRwg+s/ePJp
TA2ruM2gxzLAjl5l73rb8kOAp1cTew1h0TqUoGATFimhZ5aP2TjlzAlV92FJclYUtUdkHzvqCW1x
nPLFOJt2WqL+6+F2hUCcvSB/dEnsuD7ap3C62xrF2ZxuVG7uFtgIYpA/8kTfVdqErppMT36Q7TG0
kJ3tjlFurccSScDIWmkIZffWxcF7WYJUHdOPDmFjW3SkzdgpJo/ZpMojYB9e7Nqurk6uBc8x6FzW
IRffTUr6z5zlAvDX2HmuXxzL3D8QP61JRSTFMTKr9KSHIj7Yo3pC6k03/lzBDsFBG+IManMejlqe
TJfL1ZKU+W9bZPU1B/i6bDFDyDBTvCOFaRwB99ihOxTmIQ7KCH4aNqe1L2RnwPCEHcFNf1O1mXdN
Yxg8/uSFS++Pp67IsUt7J0slF6sUx8Uu211jpe5LQwD7arK2ekkzSIxoqUOwc8XMwZiTMWbfgfte
bf2MNcjCzubV0EHBgoYryiIp8SgXFOSkNsenxivvc9eEMUv8zx/lLhHZeSjbz2pyuxuMEwYBLR8m
LS/4s9nAa4TDtkdiak6ZD4KsBUIRirybbwhYjHj+hPnb5u+HFUDlw9arJuddGX57Imnr30/kJWmb
Hy1az0hKxQVQlXYy93IcSJtEJu88bDlkpx7HiEzoRkzB/FCaLrFJ35DdfiAVftBptXK8Tb71YL/g
m1LOqQ0jhgQJJAmemhPKRmooW0BJR7u+idMVAM+2AMPPhtTWOQieJtTeNLHv55Rt+JD+Iif8Occk
1xD/awZx0QK8xJrfHnuaqvccm8ZWuwW7L2GYO8J4+lblo8Ut20iPnFzHHP+c5eFfcMYQiwQmm6A8
AonkA+WVO07bT6nFrVG5waH3lqNrWBcXdM+GWWtPeuuHEppQ00Rg4tRyHDx1ljnTLZr8ULZYtl1t
vNpp4N7RZDx8GK5NTRj8zypnbPG4QJzsltsYI4rxRDbtprbBjGcALT3Cm9eWBdkGRPM7L3B8nGbr
vtqw5EIjkbiuZ+uVcC3NgdInk9Ile2bobdfk27nG22WunjGO5k3ggfolVYdZv5RfuQfhKElPJe1+
iS6fWwmoIqeMNG3Htf7cxvNKqhtx41BU87vRUEPnz0a+S3FSpJuCkoMnLtn9vnDSmywa00NgDfe6
Kxj18MLds0V7yepg3noTmCqrMJkXLRQjz8LLaveE5dqUzWQqCqQ8y7mdJtmHPngNKhiyKHQpkBQ9
Ofuurju87OPZya8sMC+NTlM+jtWTysqNGqtzFPQggXt1K5cAA1uvFOTq2iqf47ae3lmVnLOF/ngc
b+zLmulIId10GJpUgA1nW3Aia6r2Bsi7k2El4pj3hKDbZYx/xrnVsTSzP7jyP9usEfW9aDCrt388
dK5nUkj1CZJkdEpQhnZkzq8GhmCssXLZw/nxj44oMu4m6i4ukVuUqptXG/PIMc+Av+Df9e0dO4hs
Uw1jF7bN3FyFh2LGtSHCDLvIpyXRKVvjZbqpF4e8VCZke5IyU2GHITOsgulqEIcH7ZtN/KDM+NCI
KN15wpuDTdvY6cuIMfmW52wn1HwlSd5f/zt757FjOZJt2R9qJozCjOT0auXq+nU5ITzcI6i1NH79
W8xXXV0FNF7jDXrQQCMnCWRGhMcVxmNn7702HpwZjpJg63WcEwCQ/Nr2vW0d44hgHhMmEXrDn+l+
g6Kmj88HIhckz0B7o71b0kDZ+FX6auANRMZrHkmY8XPh09imBPiAR1DHE/KcZ04eDJavzlJeWF2V
IJ2AP3arZ9chAGHUxXGuKMeox/FDlpgxNaf4UUGmv8PiTOfCEBmsiOnPAB0W8p4dxsn2cMdUSybM
VZW7gWKWbsjZYjYqIjZUtfxxWXWtWlhtZE6S6YkyqdqkD5h9uC/ckU3qtAOGHr4Bh0svJNCLU2Gr
qdq2cYLzyghaIn8AGkBUUUrw2SRjt+9SW+5KJk0GqrTf5BCGsa4SW141LmAZzgVSqVAm3SG8DEqf
CVcar4EF6SGpuHpsW8M0b76URNotnHtA3so8uUwtI5kbVOYBChlhKTcs+HQWORakSSv33qXl5hyE
bX3gl+Ast+Luwl3eeo39TB7NTtV/2qhidAyc9jJi39sXhi2e6NsIH0gV2vs6apI9mHYGIFPV5jaM
e568Q5XLixg6fEzpGgu81awSthQXUkbWc59b4SnTlnXj4C8eeoXldYBVV6xEU9d7i6bJejeJ3JL0
LBCG4fJf8egDAaSdGiwOiTI2YaW2oi9PcV6sYkhsL5bp3fU+vZauHovHpCbxaE7O7wCr0S9hm2UE
S90OfoIszm+MIR+JLxH/0ubJ6tsbqZJhMywLr34eD92sq13K7HzGOsjHVbL48lQxHBCIiy+CKO7B
q5xkXYWB2A4lLJOQ9SCIxnR+FP1ATY7I8BVq12NtllodXy2HBZ1CdF/wiiVu8HtvsWZV9eTu8c++
DDrKefGbt9is63UT58U+hatyP3dhfCWLWX86oUcqXgTuuLcRHCkud+xoVUkuNmFwiyLfP0IQZdzB
M628/gwQK+HAm5KTttw/MeP/yqafapOyguIkmIiADQTlbli3eJi0QDY3fUfrqJqDx96dH1Wo/KfI
BXVlDhnm9c76LiJMXI3EhTzlzMYE6m04ltr4Is0ebgnZfvqd6R1UtTBMpOesNdI0hwfUWSSiLDlO
WIoPPHW5GlsnEkDFS5KZNGiZfPwAJoYnWOHGgYsdNPYme+pigucTwtTOrbuLyaDeepS62DNbye0A
wu6YtoVxP+jJZ4nh3CLoA5sizZFXGnTxyFDDprcSVvgNf/msWnem/WDMtbiYVO2B3pXJyfRgfZn4
P9gMYa7ERHs1rYYvZ1MQ3h9H82QF/rOeOuccFcWz4Eu0EnLcUfHlb6cuu5VZcq87LP+RqihYtEBx
r+YU6s5a9rM4UJjS7SwmHM5CVqM0CoHpI6lEu8HZL22gWIloCJNpmoz5AnEgm35TvWjfUD+ldNla
lpFPDVBDO5cv22PJx3CjvQq6FRyVCthykdx1URs8NvM8n3CIenc0+GSLsk5sXD2pFlhJ7/hf4JvP
2RRePLbde0diwWy0/eQzF53jCJ5DTf9D3rzqHsPoULJobUnm16W7MtInmrmizYzA8twAilhbRpld
bVE257ot8emFKnqVVqLoOBgZaaaWHF/jbYBVuJs6qpyt60FByTsfwPbThNZ0BwkhOSV8177woECP
ztyKsbtr2L30km9AWMiL2eNaB30OJtSD8RAOjreZzOaIHRZMlSPneO9pJME+Zlqgw1bzOMlJx62F
dAQrRwUGts593kYvt17hzsIucPtKHr0pK36Z7Br4/vRWeeE3TU4w/F5gC+9ZEFq7kvPtjm7mxF0b
w2R8z8A0tjwPYV2M80DIBaYlXS2deJdxQ3k7JSyXmY/yK1bsYT2xY48IxEXtA+dCCy6QJr5PNfnD
d+R23OtYGvgDolCayhkvFS2MbG+d/lV2Le0TZCbgQaS8CWhMtLzBrUugGeBDz9gk2P4tM1V7jKZy
5rhqxAA7w5UvfWQSJMpc9lQFnL+CTabjlEyDVvYQSs8oaCCa4JfNIXxMXpLYqfBku/FLn43NETmK
Ma7orXjHjdo5uH1Ob6EqKxDcrgVn0sfP8p64xTdRBnD4mqBb7xgwUOMy2Yja+s4Y+BDcSAVMKyNh
JdL2wjsPFtxB9D/+gflYtHdalREjpZDvRZLyXeI/i/bOwFzzy86s2F23VlDuqn6QPwkD+W6GXnP0
glDdobJOhJewfcoBTbiBdk8MOJNPWHU40SI35INSu7x7faTsg2EEDfoTZqPEQ/Zh01WsGBWH37w6
/a4gAb12QSweaES5KkJVTJqBCdsHTuU6Cehv6gw1PbNZi3a0YhL0pAthjQ0k73BoKarhNGFogD9q
wkxKV+Uv4r7dQCUXqLXWyMCYEpndWGxlD+6U2Q9wWFKg6oFHdTLgRSj1iqmSiiMqy10efFNMh6Gx
x9JfrMPZ+yqApgIqDxICpU69nQ2/P1KRZj1AmfrycaHQMMlMu+rH4cOpun7dEmmE5jw/9tEAUbHK
8fwITMcB1qm16vIZf9t7FW/SltipbQEFjl3oK31tvoTEL2isafa4iubXYiCkPoUlSIUEVOc0mS6u
/OZkF5Jbhzs3B26B0W6h+l77SnDW9+pzCvB1bZPCq+kDG5q7BGTXdmIFdnXAu2bQ9KRzQ2yaKUUC
lzMWY7yDwz99BAREspmlQ0oe/6Fomvy1iHl2lCnARLyQ8ROOfns/SEWzR0PqI16hoqh5ncyBT/gg
II45wCa4Rb3orq6F4EOrUhyC37QEOFefkj6upY65ASrKPQ3yUzDb0/OkU/MQy37Yk/7lgkYiFwXx
qJ0S6dQe3O3ypHa5eAAKyIt1hSFgBftDgOirll6dVrNNIbyCMGtukngctuCRbtzMmFI6p9l7ZWXf
4RsedrmmT0On1if6W3BmEIFrzTS5zmsuNGTh1VnCfwUMQuKIhMlwR1GQfHONeZuHYgQ0ZetD23Xu
Ia2q5lzNZrxL+1Zco9Ea9ogMrDm7aqzY3eiq3nfFGDxHw6TuWVfyV0kQBQGKOWekafORV9VhPnB0
RaFXD17BEDgky5kCtXVU0a5TzBP5LV3k2R71hTsgqttEf7kP0MSZ+fSwS72Fs9M/2H31aCx0XrZ5
d/XUqaOTEUHEciZLCOohy7hayJn/oRlAvVdmuvbpkKeKmyTBqJBU3NLufzKsAwCns+Bgh+TEVmVb
WXuTQeHsiOmQ5Ro8HgkTc+sPBrUJoSziV97fT23VyX5iicCjC119FeYm17aJhH3SvgsnifYRPAyA
OWYEpdlhTcdyB/1ObBwH2ORqtnu1HVOFpNiYMEZmqki9uug/Om3rx0TzfKyoslt1EReDxi7PbiFp
wKiU5GGDZs78X+sovna1V7MuTlobaxkndFeKR7SGXTzy+c2lfjHh+v/MRh7fWr9xf1Dg/IvszVOM
I5wq9iaw2BbBEy84C01Y20BD3g0E2QcgCM1KFoXJp8I0NiK1q88RG7vGxj+kFpBUxSqYmeGbHSg3
D6u2H0KynluMQdSXeQUVoLY9Hel59anlnRxxDvOYr3bSITAZst4WnfEBZqj59CPmDSoYBmqnGmIg
3ONl8h2wrOSa4Ixqb49mcsCzQxKu7Os3FkMfcTT/Gic/4zGumhfbirJjXMsZuguGwXeT++dbp2nV
4hQS+jA2zOncNahPScTS/MqdZRP6RMRAVhVPns7h0RWeeoDu4G6tKhsPwIQW+rsNds2kPNHZFRUF
GjCtkoAmorEzIIZR2LlccFLWEiS8micULwIzcUk3GG1c04H6FB8pw/D2BsbGp9IRw8U1UF47zqMr
Jg9jPbPp3zC0T48ZEaGD1XXhO/Zn+6VOO5B4Bq4V1B4MzYbhUF7XL/txEEnmPRB49k6iyT0ELyzA
Y5NuylhiJgLaNmzjQrNoH2LKcswx3HSGaV1EnxXrrrAw+RSzsgCwkZjb0ApOHYDb/knMuNt0ZQBi
t02wM2DbnreWbd5cdvvrWJj+XnGaUsiu84uRWY9yKOZdq0jbW3J273VTU00QT9OvIbNr0Pbe6D05
iN8NVyScoQIM+RWR1n+mYH56RMBWvywvKs6Gxj3tFGI4JY1LAiwMs35tl5H37GhURm137zB37XTV
ADe5I4aV7nDSNHsepfhdYt0/9FZ+xYKXXiZmrkPit1SFjN5rvbB92gQQ7rr2puSlxq/zOJLomVai
d5JXYploBIY3Y26KFxSVPd81fCDWRQoTF0aqe2yjdB/lI80Gecw6MvC8UyLlfRWk+aa3c+9QlLo4
sssgAUmXBd+IaTyZFcYZMDPsNxvXzdeBp8V7UDS4PmzbfjOUfaVL8cWfqvExaiAwugG3uLShFJr4
ExCZKXmK0Alj3FAHx3P5/vi+PuukYvOaTcV9WoJlKZr0aDPOPhVuzN6AS9QFNjqAIy5P9l3l+uWB
vd+311Y3R+hzSJEzk5g8gf1DtBFe2B8SIIzvUVO7uzbL/b10nPzF7F0Org5N+lgkxcksVX9mJ4An
xJHTJjat+jUDmX/ntfQZcU2uqWxFqAaYotrlSAdHVoPm2UGYSw6WEWPrWMDnuair3UipETmgXhPk
rcKFye2I7IljGjALkvy05clR7tAkxZkw4e+qMdn1tCHZ3xgT+4qmoeqec0uu8X/pE34CB3U6nG5D
F073XhGMBx+OzhWLZbYlZcZKyjeLa81wcR0pl6a5Iq8+dAbUjwKHaThPOaSbiDzGHzXZwevQQhmP
KIiHT5YEdco3f64fkJf8tyLO9IZ6a7YGEW3sKcjyraTf4ZiMElpJ5FpPZqzie5sg6cGfo6V0YbS7
R3YD0TesIgJ3cVU4a5tFJHYHU521ap13AB8T59ncsjWc5Lmftd+sdTpl+LZi9ATp+N914DsnBpXw
myUhM0SyrKJgsD3FXMLphWx6efK692UV9CYCXFkrvxTdx0zG65XtRvyBP21+YLdhb0Of8oS58ZPf
kUH+FpczykFQZrcgCaItsgDXe6oOyQZW7jOxErGP+lquafaMrkOIfL6unD47dVGS/ilNe3gueLwi
zOjgAe62hDJTwcXOu4RIehIEJ7iC9q5uedZweS7EY5ZpsuVYtO+QrLKtR0NSykfeaR9QDJznvOcC
Thg1fU5L41fSNt5ONTw/+yw4RSGQ08iWzUNYT+aXLAbWiinfGdid5PodOKoYg5oci81M80WaGATq
jOEK2J8B0BoxsmcFhapzwyKjSvyR5gjL/GMlXnDGoVNBWjR6cD2aqstHxXCwQ4yj7xLu+X5sanio
VLdMXJ3ZFqBGWdexbINr4vslNCJmryKIn3m6MvNI7tI8fu1Dk7suWlqUnts0m17USJWx7iqEJyPr
0KwZaymP6NM3P6k0y2go2O+D47Jz87NkZO3AfnvGV8MRFRvpzhW2c24tNX8VVaz2XoR615LeW/tc
Odd+ArEMdUc/sw3rDmTVF3ffsnuvRN/+wVyjwbWF8nmmyOpIUDejbZquAC5d/om8gGKngRLDV5VC
aCen+Yo4KHsFrQxzhS0v5mOJgg1Bfoi7p3w2O5xx3bDrwR7scJMxc4YxcGmkm+cW3A835lYehFNb
3Ko8c5RcKrX3ZzaU5EkxFy9pxGtAIhTyZKbKYwm96L5J+uaBLE96ipbKspAENLt81/F4yc3fHDjG
3RDoluRRtvBNZZZxBv0PvGJJkliZ3kXDKCkQ8srfhIUCSvWC7CPrdIiEgmX4RWXoHxL31SOg0eQz
9dvhXtqILuxpMcOmA/3ckQM94P+KXf7/IXS0Y3rWf4lGufuKvpqvNuqaf4u6/ePX/cMHL/6C0+EL
UiCSEjjXM//pg8fTLukz+t/gUSzrL2orBLAkG9c7hGR+0f90wsu/FBRJAmq2ZSnkXue/Z4WXCwDl
Xy3oakG2uCaPZKK38Kj5G/8rPxotwcOmYUxbvrTWgOWAUW0aaHlgpnP+hGkHj7/LXd/esFyBCuH9
TeQywwXOZSC3MVUlHsBKvJ3vOeZq/55ECcwus2gpV6+VudDY7KPLbJwzKCyYsOxvZFhgUIfzJJs4
fjMQK8JnWqDH8gkzega/AfYvgE2nIOLTFCqwNg47lGYDbMD3gHsocvNqAFC38nML1Nl/0vaAOHD3
pPkvfCy60PxjJiWL0ElZ8E3T3j/WC0yN3K1hcRulemeDSdGBZcJGOH1gfB4vgmQ0cKoF1oYldDx1
gA68TYOqEdwHf/PdcFyI9ArW8J0SRW3uqZUEDle7FvjKMVDcHOKIeWueGie5OIPN8Vb8TZyzAIc2
G3BdbLWZGoDNeUauds3fwDptUau8HiF2JA84DWEO44B7UTX7fEPYOkQ39oYMX2E4pqdmqno6l0Km
UgLxjgDG0voZlQ4Lgs/qzBSqknB67DOMWd1C7cP3atGb25YXs/Gip2kh/7UgAGXTLUa/KQWbkvo5
pYY+CWjuH8rDdJjFb/xuGMOHsHkMpOGVR5lVAAnnv+GEYN6ca4rKHbIOW/CFxHwdf4V1DKwhsSdj
2o2lwrYfEAeZ75zOJREYunAu12KcHePQQPfGnzGP/b5nz49TtpnwDMi/YYzeaMnHgs0IKqaHmHPx
RAdZeVhcxwhSqC0AmcE8tlC1fcw7aVSd4TXCZ/SU3Q/MLWNxsCjG7Da4v6jADGfuHZsO2Aeykh3F
wU6n6ZAdhS4Xk13Og3IbuZWy0KiqiQxkZGDrWhiWVKLXLzkCPf6kpvnhkWhOJz51hNzF31zMoem6
CaNSSca+Ef0Cuel41M0sctbC8Iac8TtQpwQ32q/Kx1t6wGDq5duIiD1IWd/iHdNNWJ7ssVu4M1WT
XjoKW56a2H10Ab6+tG3PxN4F1JoSyYtO3ji6YtWaefXmFYl5hcTXftJSr85ILocBcyUEBf5o6zlo
BsKPJatY6wYbwlUrE0so2oao9HNc2PNPHpEsH6RoACv0ZWQ+cGlxAbCWqTVurQKlj3KDML/zE9ax
h8kpsXSIZMg/Ohb9D5ga8WwhJOoKqdHHr4Ee7ty4uLOrF1YOTsRDHe24hLJwdroighwS6hiLmTZw
MPU2ZwLmg9y5w1DaQwdGgwfnk7CA6PwSx56rMQooM8TODzTNosecfjMQPSJ4NeYs2M9AQNb5VBY/
GdPNKmuieBcGzvTmD4Ae65Y9GdbSJmcmDvneUAdDzr5k0cZFoDwXIhtuLZ6iaJXpjLOA3uxTzALj
EfwyMDzHt5NDP+AfLNgdEJ4R+A0PtaidFzNP23OLrEDRtxX527nrMLilU7zY/W2wl3sfMhDEkDD6
NVUGPbcJRUlop8JEn6iz+hYTkzwCT1t4QlkB+iNSo00Ftauyn0pGLAShgNhQ5NkZ9mZYfNdDOfg7
rp5TuI944kBnTYkLuBnLMQeS0X1Ul8YxcCycSMyy2fiMxk4RZQSfkBoMXP64Cfy8hnHIOHgaVJX1
+0kTc8CKISo8tgSV8JIFfFaR2OhzHmgQfADIVtLKAufUDAO3ePGS1iD6N/FFWflQiTeBUUqJB4ln
2nduaHuVcejvZTPy8Yze5tgQv7o+M7eeVSagXtMG7ENU073F+MoRvrB7AFcvUVv8XsxL5Ipa3/Y5
9tOwOxFY9IsbNAvCvKZTzVvWtcEVx5e4IQgu/GxrxGxWSDMetxl1S0+iD1yHtYgFWIGgmWOcndlK
vtQQlAMEItGnd44dzIsDf2J9bdr5trJiQdaqb/rHIMYTAKWxyBBeJhPDJG6PcmPKmk8i+ieaCQjz
8cUnzTxzXpks4Fte+Xg7V456yqbawEjLho+UZ0/Z8wZ/OD+IRUTrStoKUBBnA7ariBG3XkdYIajS
waeW8VLEiuWSk/pEH+LpvEiJLIWc2YAUTqnCNJVVzPTt4xfj2tkEu66W/qHg0viD+lG/EUqFTwHA
glG+jufvlDEcbIcrUXqnpMcBwx/R5QiTyXw0CydNDy3F4lzcCI7hPFazhTfEW16EAnOHGNM8Ydk2
awaExra/6PVcOM1YBm4aL8VdKaoRh086oYY7S0yJuyk82wGp4J5rLnXTXjS8jhqmY6pJqO6EQRVE
kgsPPLvXt8Nd6s/6NszCA1iUgD8lDQrS9jCp3vvtjo4+5HZo3gd0dy3V4yOXw3JOR7Y77IFLwu6u
tzLjKSKjAYdQH5w+qfxHDVqavu7RjRA+Gv9DSS2fMAtBNUriaeV2+bWnqfzMCq2LNgH8SzRPKtQC
fL2HBBTHyuunX0mF1BRXnJmEO1L7U7KIysDBzt5bF/dUA1cD7jtnKr+goJvRuqyH9CimBSS3PABE
HCbPmhKgNTuzJAT+lbPookb1yijunszaFdZ+sLHe5ch7mwzyPfvvcOmzCXQEeRdMPmvVCBmFxB6g
5WA+GfVMdE6Elro6GRDyz8jswosaUuzGJVcvLvs9lQo+iOWoGsEcZfzQ+wR3NKl908IDEYXj2YjG
0FkL9J0texXtEiiM3fuhNprvIXPCH/aR0UfU6pth8mBdWQkXdaxdWK/iqcJYGCnEXeW6i9mNs2ip
7Jmt4egUnfpVGwQR99h6LePEwv1oOpAd2cEua7IZZSmNzVsGk/xTmuAU7u2kHv4Q2CxGZoPUygnO
RLhKo2QkjSYtgmVwaqhNFOZYmnBE0+lXaIX+z+gU2DRLgPHxXpVm+VNLWzRPY2BxH7USOBInZM2w
u8S+ycsYhn6PnDAE1Q9L8IH8jmNFwzEAFa14OqcWLDmzBFpUFNz4a+GB0IxTA8Kv35b2sZzYYl/t
pr4ONJiVJ9nUw7JBGPUTOWY46XS43gGYjtE7dMuNcmooTIp4ZHVZlwNsdRAT13BG+ZowiHePMd6u
Y07a/1QkeNYC9igPwnEi6gS6kQTGRMCKfvBs64uMy2rKDPIDDm96kYUbbXt3tDZuCRyWg9d7NYwi
QPLSwuuOXpGp4oseV7/ac9D6N40p8acfwPHgrW3wgvht/dpPML4T6OfmyU51dmkt6gvXGZ7hN/ZN
5qtiVrtvO0mtdDaE0IIpb873MldOhocCLWDSVVWv7bRyvnlAZhseWR5LW8+w37qg/bKaOojW05AR
dggt4HtwjOs3zJL4FEyfYMZaAvujnTjWxWsd9liw0E3o/lM4bAXz4vOItUt6fJJr630eMWP49ZyN
39zaEaYNh9MYdxQ9vPqLpja17nX0nKQWxi/L5uTvJmn7p9rGr3EQsznMlxT8ut7lGTm++7gk20nE
0EB8MBx6KQ5W1eL04t9yhEKeJdFamIUX7uK6r3ati6+StZXX3VpsOHIdW6H1HCOuxhvL4VEe6bS6
ktsMr3z2Z0zFuC/Zv/OY3xRz3wOLi9ldtDacgIxVgEUmiH2A89tRC6GoWpjExDQSKrSTlrRKXmPv
WPtWRewhrxomwtkW5l0FlJEQAbycPKnYL/YEPoGPnUTOesYWZEmGln7nfozrXc+iNFgTVGv8lR2x
y60nv7uORjDvQ8uK3yteW6pGlzJwm0BNeYgN5IlNmtNpthUqYgEP3sH4AE3SGycaZ+lpYRPsvow2
xvsN5b0mdsJmoNwi89yJ1NMQ3YfOcjkrXTz3yy53eo7JBmR4cfyEt1DOH3gJx0+LnwI37hgJc+3x
epMjtat279jN9FlbIWuu2EydB+yg4saAywmbkNLZafZWp8Aup995UOudoq3+2JjgjrG1lc4dlwYv
ONW4Xn4lyIIY4bnObBgyZncdzT4QFew30+eyxUMRwpVq8S6SuchqiLM+71hHkYydYngsBCSvcU6H
X3x91YWtFpUYkSl4ugM4CQ9BFGXVZoiy3ShoWmeXJvMHSzAMbYOa9f+p9aNA7bgRC4p8yR1zq+J6
o9ZccolcOqiUkkxzjSrSc3+FE4yJjk2VwhEDMFW/NEFrOgASbLzWcVtEP0PdyOMQ9eZHPhUwKVDb
ECo55mcLvPNK/l3OlnbltinYsOfSC5MVhoK6WGvo+SXAftV+OuTmHkJ3kHtlNtFrE3sZ9hFdRekO
KV49zU1XtidiWVCDWz9QoKRDfJtePi0YujEEDj0Q26DSMgLt7FWeH63DLvZ/YmL+z3YbvuCPonNN
JmQFywIPQV7NLjmWWOypBvVO9KmNcLsxC1akRx7doRabqlGq2fJsztBl4769NsForuymd/UmLuL2
O4F42u18y++ag9sVeJ3MqPupunl4mBp4lPzdBIAJWZIzwp+sxZfTjWJDm6P5BzL3fAXKhQcli9WF
mhwFoD50SFwG41050Kzt+uC1MiobAf3lwyF11HfbM/Ck4OmAvxfUHEXcksiF7tskY+IdlP02z9EP
Hze6GXLoJL2Kf7IB6lYb2Dkl0qgOecKEzPb73kHaOuWy5QcayurR4zG8g6cafjJT5GTpiCI+O+mX
sKTcUvwkGfQLexMjp29Np5THtBDVc1B1Yt94aCEcnJuybO29GRfuD2EgE1t84xztKkXJ89iJk8hP
NtVUFbskb2xcy6Y+EyoXv/zGKc4glcevvqkwb6Hs5Dsf8RD9l4ZCYoI4Zr5nSDSYXlOzpo5FekTv
a4au2uLvvh5Go/6SKRmS7axqedE9IFYqnc1tqmx3nyTVeKiopuBjUqWPo2frewUWHXl1zPRlnAam
Qm/s5t86YW/NwqigSINw+k1LpS7aQgNULeataMpgaFep2FhM8r8zMib7BgDJ8jB5J5XX4/0qZX/X
Kg7RTiUlHkH4PsGeJTbcNVPv68yjHK+LJtwGCyo3VVX3wrhbs6CgOXw9/X3nIEG+qVuZ/vHsyAe4
X85XwPzzh5mF6ore1SOfReR7SHyzQC5Eb65jyXHJ5mYvy+w4WmG1j9CGH/rUgacISp5iU1xBDDtG
7uzsHm536HbyMmTcT3vXqd/HRpxdU2NMxUQvryAUuwPy3fQEPJfFkYhybw0L8L0GtfkeABPd0LXe
3I9Iw1tAMtauksv6rB03qCwmSFMtH4maqK104/hUCQvSiu4P9uTew7Uf107tOmeNss8g5c+Q2G0E
aWLL3JEHWFMUNm8HHsZAEwTjnQrzCwdVsuUr470VRr0Qc1BU1gUB+BUo+huSgD/sYzFMN6Wmdjdi
TePz4ffywQtdgqphovTdmBnjlhNXU8JeZDvdhfWJbvfKOk9mUnVbtmm0XkTth5F44iZV3WFBrOf2
Bf8P016Y2sSSE7F381TwruLwqxTvP8GnjugrXWinehoZQ0ZyRjTt0ovsYB77hS/si6wCbN8S8qzq
5vz3oN1gz/lQXut5HBmHAuMe1ZaWqmB86xIerBhpC7rU6AXdgxgdMClPEG0z976ShJVoh1uy2X7E
9WYVjDI+UxhWHF3ReL9FZz8aAWN3i2OVgSzQj3g+1HYyOgA5IEYWizT7IwPoHXaAo5pmdlO6nNWr
snL5IenBFfh+uWH28Rn3ZbVH+iRTpRlsaaiR+tcMW+8F7V78GZve4D7gy8ceS16i5NzdV4ZOx7to
ANLF7xUd8jn7rqW5ZAxtZHlGb/0HNymBklZaB0IN9bYReaefRBrA49Q0BHpk1FZatxGTFPBOi3HY
RdlMkxjUvcel5UnYOdQ8CS8syv4/PO930cWd/j/xdYRpQYL5Lxk7d7/DCICe/jddwfznL/xPacEH
iCfBHy0qgmVDqvsnRc/z/yJgrhSwBc/9x3/5Ry+lpf4Sij8d6Ax7UJIk/wuyY0lUByFxioPEwevt
u/8daYGx+t+VBY8x3fFsKXwF5gcVAwLQvyoLhHY7T+IaOTQ8fUIIyamaVp7NZpwrQBz9wBlHZVXT
VB2hBfXPjqm9cKuwwcw7NFzcIQDNj1wpVbqpVEquII8N1sxy7KZ6nxuR/eKT8b0LSB895IYhu0eb
qIlNSsX38Fo4TgKprCx5GgjtUZgs6O49UtNWrKUMgXN4QRfeWnjXYoUohsu1N40b69n67PVu/145
eI0Kuhm2psjIfhb0E1HdtBlsca91CfyUQAMOU9pjvlnm4ZxJCOxiLXfC8CKSlsrBBojoRUZtRZWY
s4A2+4xQ24x87PZN/lBbsXXgQYsIKGebHl/NTcSpfQwGesJNkGn1NEbYUb3S9/YjOvpdBZpjnVBU
xOUTIoHd5DRe9hB6rEitrcGxqteh9Mb+Ci+ocleYh68mRRbLIzXWZKAx6IuLRbIkPGEQHJ7qIVOg
MovSCS81KLxxD5QVWwgnbMgaA9gB+HAzoMgQ4k3hcYAl6KGhqTHnZVRkmE+ziQHwoQlx7z9RAmBQ
UiPqgAkVeMuSp/FQYvENquQUkA1j0QfDbNj2PYfYzmaMfh8yq5ZPXt501s6cAUZCcrFop6DzHgaM
Pbd42wLVDnuo09GPKOkWB/6Gk6PAy/wqg9FvNqEIQ6ot2j9cO869MdaPFgPRhfA/FS0wmA8G3Ufv
qMwLeTt4HCeWLgwQLGm6Kffv7GYEfQ0Vz4wJ+CrBnrfMgmRa1VKMe3i+7Y9N7udASX0U7+Nhjs1N
VrL3ZrbwbhJICfFrl1IzGpE67xloAiMPrWJrB1/FJm677LlLdY2ZhlWEXxYRiQK7PME/zDcL+xxm
oXfiiemTqTHnW8CqeTfUpTxhiOZuiGk1LkzxwMJsTZ65XZZKwCjxKD+wQg9wnIx0VnU2fcRO1mCO
KcvIpZUZyH0IEXjMLhKsI7Y9u9noPMsvTe2YFGIlTnzj04r1RRBmWpPC1/Rz+3FyRE0eSckEhGQg
AOKJDlE1hjEFDRMMHx3v7ZIpDBC3QqZu7i8jMY7VbIzjpoEsvsJh9jrFcf5Ua/BUI7bL2l8qN5Mh
/pEW80GD4QcrRNju3ahPeN0TvVf/wd6ZLEeunFn6VfoFcA0zHL0MxBycyeS0gZHJpGOeHHAMT18f
KLW6SqYq61r0pq21kJnuFTNJBuDDf875TibbtwDM86kwluG66ec/NVE/ihFnu9wJ/K/H3Mgy7BLU
Rb42xug/jvWM6ZFodvDezL0F/JERxWkstLGfGKFsU7txdvS7DjtPg4UxW5jCSxiMeAAJepeWg8uK
s0bkdrI4QtbiMt3DEBnL6dr3zIFDmGIgTzTyjtklruMGsxDSRngrnTb+cEcd99H/FR39/z2mLNvE
f1nUfP3xlcz/mjv3ty/9u+Bu/yUIvgCVXTez/yC4u3+ZmKpMdiVhM+v832hZNsUfCq0IQWX9bef7
X3q7bf1lBgjEoc+u6Qkn/G+VNVs2m+g/6e2Wyb7s22yySLPOSr/797tiauGgXfJF7adiSNyt2dFS
aakuuQWXaD4nXm+9iFYyZu6WoLhKf0Z0omoY7I1p9li5dorLiSjXph1nl3soE77lZ9gXMw70r2gu
GpJnybs546ZkNkh0l6rVxra3E6myjTKLh3adIwZe7UV9MuhbyA3P+Pgmg4at8YkRHXHLpaq+Bi9w
bjkyYnADx0lj7JKcOlkOd7i7UJudwGOkqX7GmwhyTDrtuT8gNDH+rHr6I5l/jXTVD2K+D4eYcWmW
4k2BD9vC41nHqfpntOonS/nY/Axcs7TTj+XPGHZxR1J2DD8Zz4qfUa39M7Z11gmuYQiGuXNbxQiF
P0Ne1NEwPOuf4e88unZ3PzOT+3I7t06JeU+5fib4H37VMAU+ueoySrZxupe7PmDUJX+Gzek6v9ga
/jqE9n4G0ovh6e+eQoaalq6yfS/swXqqOb4zomCezc3QO4yMuAlDOMa5+Rl8U6zif85d6uoT6JEZ
rmrctZItbR2ZJ+v0HGpdvbd+Rurxz3gdnOWTq+r0bVhn78M6hZ9MFdyUP6N5Jdp+F/8M7L2yGblA
MsVfBXdcF+tsn2E2d8HeA1BDEEYTFk2ZQXqrIiBXbcD5kQmWVTHgPEVCuTcr82x0hKJrDK5R/yMz
cHWnk8p0EB+aoew23IIpf1i1CY+JlX3IqpGq7SaTV26V/x5KnpapanNJoKmGf74qHWLVPBSRqY1Z
8HNT+cmI+UcXkatEYtYTKtkqm8iiFC/uj5Zi/egqySqxUB+sI7iqnwQJTbp2VyFm8uQ2XMUZ80en
6VfJxke7AbTA/GUFMXirsBOAoXzruiIl9JQqf1fMS3JoYQTSREXvSYQSzjGjY2S6MWxv6jdkUzlf
BS4THETCCrJHwc2PYr2kyJqzqhzjEIiFyl8kYzKZJKJXeNSDyEYTWpLltgc36yGBrUkh19VvnRuQ
iWo0z3s4AjOINC5LsRd1LJyjGZfLB9U4Q/Iy0OWcRqhVASfLxM9IwkPsHU9m0BPoGwec2FFdmml1
smyRYo9Hwn5VYzq1gFJkX+9rJ9DTVTtLI9yCOGuJygrbSfZu7turkjhat6pLSZM0fue/Ofi1aaXg
bm7Eh7gc3BdC961x47kq6fY4fZJhP1l0vG9drYiw5KjP3n6cmaNts4kPGt2r8lbJwpbVdMM4QQ7X
saZwL7LazKQcKOT/9ZCIMdecf2KLWzVPl9iYAUmifSyxjABfoMksAm23kO5YRtrAkrR/MjOyrwKz
e/uYq3oWu9TocWyOmuS0Lmpc3w54WcogMKoyrEwGO3LrLP9TjH0IHjGOu2aDpoAKLYnwqcgyFzrb
lDDIdtOYEust9+FvTKAtmqYzMpvNmlydeDJx6xAYD7iDdO49c5Dqpqo878s3pso+umEAp2RgbvXJ
UQ04ZpngdoDdD2065V/t+Ylt4Fau9at1S2r8zNxy90XO/cYzm1ZGiWiCKPAoDY0WaqnsLdPhjKbo
hK6eDQtkoMBiDm0d8SMyzEwbTo55Ap5oU0x5RYQX19Gb1pW41rlXvdQkBcBBe+NM7a6dn5EKwgkD
ajPtWIeksZ1UOB59qx+vddiGd7FBjy6+3oT2dMJV9x425MhNKvuh1FVCMUTvZZTRQIM5xa0dErYo
QHZa7Zxe+h7On2d07ZNV2c4L56Bxb3Xc/pcq9CltHCl1LNkiS0Ycpvk5SV1EjmFPGV4lQio0uy0D
F60B0FtNcKDCBkRXal0OKKRVc2v09fBhOszg09FygZZZ+ckfdLY3Ox0/sFum4tBagXqqgZt+thTo
fQEdG5/Grhz32qseQ5YlrKltEKpdouvHjOJWvEtL0pzbNkdyFBbFC1bZOttSMeam8oZDskeCyIk8
4MbJXhSrgU0V/pvEVMNpnL7nS+5j2ASEOGyqtEYTJcx8zPq+fMfTTnVSzQ18PJr24OwKzcScxuH6
WJaaYTuR8htPtUDR2hpkzn7mNMniKunRowXsaogzJ4nsSlrN1Vw6S7NV3VL/aouxIOw1kdbdVLpx
T5iN9YWKMjoi6kC4WEjNPn33iELc62Em4NSSnMUGb3Ngx13B1txdLZBK3jLt4Yzm4N2cmymXl9Iq
Gfa3MwuVhyb7UIJsotvG1eEt30v/Xo6h+ZxbilbLYWTcaRO8OyFXNpRT+Jjjg+yPL2ywR/SI7MaY
m8wNn171ZgIB3E5ebxyyrvcOte1SwFA3X2ANlrskXMQNJxeuymFV0mKMJ7wNjTQ5caUEmQaIaZeH
NcwEvK7O1jJT/95sLMDc5QBNxBpIRT5WjMvOtrtCH1HdKAl0GXOB/8PDvx07TLPogqr/9FvtvivR
6PupwB95QonIX2twb/J2dns0ezNzq88aB9vv2IE+gbGtxnKm4ADRT0soKNvD7Qooc5vhPjpeEZwb
0eOUpsec/54TLG7kMiSLmUmCV1OumTIroOcjAeHSe/duhg3GGxUrMx+u9YzVrep3PS3fdcRXl9uG
gxmFkzREHeZl7L/hCdeIt5r/bTrJ8M3oQp9oP2quRi4xZw9U931eI0XQxT7TtuTh2v9VVG11SNpS
ERoGPGv6WMeINfEHkfopqM0tiiQKfcVmQ50nhp4ATy+k/oR/yd2yD48dIADamxHlP9oQrW4HsnD+
IMMb/+7VRGpQKV1J3ljMBatqkuR3FoBXpIIMirzNl1foIQ0W/DJQ1W1LOc8DB9NkO4HEwZKQkuje
1kOx8LAasTzYYVa/hzmB1shzqnHPRJSIdpzrZtN7bfOGed2XEVj+6iOfPe/ixnH84QyD2umYuAsH
PCO+yLq1PPwP1KsGfEs7yZq5JkvN+qUXsv29QMJlHICV5SZNPIAU4VD7DGvnaS1bxx4UDnxvXVdT
3SrovVsnHvgQ20U6O9uV9R2r/sztNAiXI4edutmYZix/0amzrjtQ91xlU5vnlyFwkS7GW7Fl2FGV
kTPN7bvAnQTIyAgJGZSt526bYRo++r6GiotMUBM1zPNbJ7U7l0x7yaWUInfTpPQ7mK77DmMbBnFz
+SWXPnwK2yaH5cAfdpPOiUm8ZiJyPuGRfTVDTyePOfV3d5iNSHiwwIivnrMljNDJnCmpZ2e+q+QM
DgynN2pp2YujUztGH+Vg4GaG8MI8AnfTBw/YmNp4Vhfcp0tmBATWRvvRZ9dhoCaHZwb96aODpe5u
nCXntoRm8/sCgUDvzXDxFEcSwySr1APD2HRk0B+1H6a3GF8RK6HqzLcoCvlvaLDOQ0ssgZ3IqSWo
QWPVJLRnfLHiZXv2Z3+PiyP7Q70skO0y8YgFhbW1V6bhP5jD6L/XS0ZnfJg4dJu1Kx1gnPvwnPh1
8JYHerkrzc74rEWZYRNOuvRiEwq4VAz4v0nlpM3VItXKElNe+eVQgPC8jHiBiqXQl4DC3nQL1Ntk
whHorNr7FASu+iKr0LFtS/84t5nxy5dkZnaFQos2e6+/lEkXgjlLTZC1HlMEa8YaFhEsK85mTlgK
TJyeXyA29zvypiiIwRy0wTahE3sPOKm5wq4a5FtDpt0OrGt6wexpnqxyeJ3Mnh5hWad0JkH8Tiu7
fY9rc71M+c15SgDpp13DyuNKlzR80KOQ2uQ203kk0rTKUY6RPNu5JTZuZ08bnkK9sVX4XRMrV77T
nSYZy10r+mLvUkN4EHgq6Xea4z+x0ahb165Z/+AfgJqYuB0avXuoyz45UHANrsmeNMnWsK7vpjX7
02aN2luzUR0tNeaXVgbDbyJOzX1ggHSiEIKjEV3K9ZPL3rf3BUDZsQjlO8cZ6Hhh8pBWLM1q4BsF
GEP/L8UFm0DX8aXxIA01YQcEXA7qCp8kO7Whl+2YkuiK/f5kMbwl64cSRIPd2H/lLUUHu2wswAHi
pXzPWmSpbdX6/XnkAYkMY+4uXQsOBJdqdg5Vrj8W0X4tjcHZqnDjdTvlNtYkVXzy5647z4a9HLgC
yT24Jm61Ke3r12GKApsEnsPQlwB+JyltSOmxu+9LJslRO03dxSe7eGU2CVUhBuzBrfA689ZDRYkK
I/OvnDp+4rG/96kO1NPw7OBhuXODHBcWbUcRoR7ybtChN3yca/RfEuttlxUqR8scsBwMAc/QcZMX
E0hIxO2T9CDT2F++2U8faZNPdzj1kOVMmgKv58UPjngggUmTH3UO5qRg3JjU8r75tnmbN6q7xdrR
HGLVHwfL6TgBDhUsmMIZ3jl1xmQBPe9VMdT+bBZ1XSZFe0FpK7cto++FJcaRn3YYm5+S4waAZKj4
M8EByj2N5aLrUK2VIcNjmfB3O6L1kNQASbaFJIXpdoZ3KpfSvqn9YHzqA87ms8p7quULo3+jetk7
95aNfbPEnUs0WH0SiJb7IgwmsuXx+BhLZnV4m0ygt4LdDdb13jEsH29pG+b0Akq5kmXwEO44jZC/
moIW8mCLm7dG4Nu1RuvpTZ0PVR8hzfRs4RaCos+tjduwgRWNRCxEncQY9HdA2iZ4CuS0YlnsquJm
0ttJ1LObfHVMLp0opzztmC1p9Y6hn/EESLAihjyGt+AOZ475DD+w5vidl3d15tjvNpSUWxsMy5fK
DCwLuVuUdLXwOZwGbjd7Pyi4SATLlD7nKJuQAwVe1MemUVV1nCRyJe6RvtmJol1edQJdI2ACdCIf
vyJ/Jqe6s/LC9o/rgORDeoa10zl5MMxuk68jB8s1eTFyyI8W6NFNP2o3Yn9pHnEH9R92kbIAKKs8
2l4KJalOLo5SPTytgUCROTJn4V5XWFtqkLynNpj7o6oWx76W08z0F6AvjW30CyxAdmhCMvbOZGQ9
Sn9ZiWdCqbZ5aNg1maHGxXpkBGU6NiS3u4xfBNkScLbKJF6f6dD8bohS3IjFjV/MiVgZvioHGG3e
B9krbpDuzASnoigka0FJ2M1UnDFwOeUTRNTlkRoV7V+VE4ErkpwTrJ0FpOYuHQ1SXkwlDr0TvOF8
LkNcU651cBjOBaxIqTlCTyKfwKWTlHbFjrUfR4wduVRjxNXMeGoE6Dpgp8B6w3UcP9T6nVcu7W5Y
8n330mIZubVix/1dZIN4YTJD2Ir9iJM0gOgqL5obL2za3wyZJS8TxTqAIdcytjApvvBWGfGxFVka
Mn7ocsQx2AnMdsKy8zjxMTDYOI3d0WLYkPvadmkzXlM6p9Zr4SCZRxQtSDQxNT02PVVh4GgaufYL
KgriL0Wydgul7sTrrsD6ext8Bb1zVNzEsn0ZzPBYdKDNbZd7fcAcvBlenbhdj8qqhjGXqqJ4yhkH
ruaUYrituL7wT0sq6WBu8mBu2Kdz/9zSLv4hDUUvH7WUU5SPM3N5gy1qDjyj2bhJCeMgbNZSGat5
8QGnv9JrARlBdolxV4uVjKlcVxDydtS8F3PPETbF/3DiJF7sNfCUIorngdRzWWG/j5qsbwRtMkK+
u+3cHCp/8G9g0wC2sKtSQDwIBsBiqfB++8w/wPVSdnnBwJiD9eDM84qHXXUHy0fvy1rfuSs94oxF
iaOBJ9gpHiqjaI9j7LTY5zvuHpEdSvAWVudXV1ZmYb5UbclLUjq5CzmxrNEWYrs0QO6NfVyCZAy7
eNgNQE8PuQ5cXHJFPL1pnwsWP4lQz3BgMKb5wxTyUwcEaSgF7JdmE4QzAzSdc0oeisR6EgEm6p3b
C59zAsrRBTVsgATp6ezDpjiLuUU6GdZ+lpZpRKWG8nMOg2GhLHLg0sXj6YttLqfAszYgH+Rrmvbq
QK2Df2YgEqT7StD+zLS2+CI3bV9X4YzpC9zM2uSkgo7ugEH2z23oZS/taNK5ClAYgs64CBBguREg
BgLXge0y8qic6RxZQC10gnz8oGX4VKYdt3m8dyZoOCv7jOeRMP9g260NIVKk2HNNi3Cqyr3Sgh0E
dvkgRagdmjj1sJAGm4LfHTVNvwrfRkbN05KHGuM/A4G0D9AvcYlhw6xXpmGOAz5DAbMc+TEFaXCZ
7I5ZKSZEcZPhPFOcJ3CnbgLUpgK3reEsJJ2x4cEp7HELFpXFwMYnE2zC/9dksctiImFGYPnNJ0K8
XYJ2eONN6uyrzjSHg2ykGq5w32iP8zLa+xYDhvyK0bSSPTzXjMMesPAWsEvLujJVE+iazNHueQnr
xd6YQ9/6oA2A0m4MAlgHEhgNbdck6vBSmbD+KgOsGbdIg2hyN7Vyt4AnznZ2ki73q6e4wWHXVh1X
plBtW5N3fqdTN74eJyNG6uqzZdea2VqMSmMSC6qJxrZhVXX0Bn/f3qhHc7iaR6+Cg46SvZBdaJij
pZ3JMEmhmqLpJqG4UbDSmDKzs3EFW1t9iYnUXM6dovPpipXk0cxRMiyaa75haUwqvlZARuN9UVrf
OjfEA7qfxeQxA6bhGjWpKUxWPQY+PJXFxiiartoplk2sbH1r3EuuGuLZThdKU3xNZkhkBJvEaKHv
ca13028XX9R7wYEM1mKKs54prlvxO/YIl4xB+pAXYj4GAq/3HhdP8EyLRHNZZi2fszJZjV2iye6K
tkBOdOJdnQZBfsrYRHbxYPcbCW8o3g5TXH0g6BhfddrMTxlxCWNLiTOQjYBld74UbIUAa0RR3nCH
nMSR7jpm2bkOf3OY6z7NTJS/FjBI0LObUcFlNJKzYSE2RT16OlnkeHBAd6xu4ARfsLUahJlaOPuJ
gcKFkY6Lt8Ab7pQ52wP+39rBBReMy9HhwYWPMjYP8TLxBvx4kpPVnkyNAWt2v5qWc0Hu/pK0WJmX
H1fzMq4O59JQTKKsH+dz/OOCFj+O6OTHHR3j1c1uGDbgml6W1UHd/Lip1Y+zmmkmDNF0NVz3OK+T
1vUjJonzh4krG6p1vW1M8EmkRfBsI8i03ARa+5Uz2YSpG6Kv/0gyhaHFj+s77Xz51EEXfOIsCt3H
/HGImz9ucdJmwFACs/7Gt8JZlGYc0mtCmeUffIl4zik6LLY09TLspywPW+1qT3d/nOrVj2v9/+uz
/ye2JXJfq4PnP+8F+9X3H93/+Be1YH//yr/Ls+5f6H62aQrsSSGZyn+YloLgLzN0EBtIXjg/Au0/
qj8d8y8XPxONM47DAR3r/j/y0Lbzl0C05SvD0MVe4tv/HdPSP4uzq/eJDDQKrWkHtuWsYel/18fF
KTn0IU3oA4eL8HHEkXFb1RkNAk6Ydp/Ma/LLaDK9+Zvm/3v6n/JP/S+awCzfRXz+DzFsC+nZtyzh
kRC3feH90988qNXg5Gl98N0h3qcd6sdHaRPp2KTacqHjAndKWJHH4bVoMiJw5DDByYmAK1yEDdH0
D2bRWHakOqd4i9sYzP9scbzCVSX7SHSUAZuKREEEvFENx5FJK5NaHE9AucaeA3VTi/nTGQGX9Qzq
DrbDebl0y+ljru3wuTRZL4l+aH3PaRrTft5DNU2TAoyKaOKV4GPZwyvlM+neswAPibK8uCnq6yj3
81rMopbqM6N9kDZpvV1I7GxVXBM36qwr1Y0ZGnEevIR4iw8O0fArjE2cJxLPpTHJkH78izZsqico
kMc9KuyJ3sb5T1B7mLtKBxJ8Zp96xIjtOCZ3IhmCvZ7gTlVBTSrFqp7xomgmgqv3jBGYhtDIicCG
Y45Lnl6CKirQMQkzOgDSmnErJrQATHdyK8eBL+xaDzaSX0QG+taGSlc49pP90RgF5LPQvZiewpdf
cJBxugOy9J40OeQ+4glYcsMDLncVKW8Br5nUI02maiRvPlCnPKDsk+jqOBuCLkYjKWkscQf0NbOK
sMeg7I5psMsF/VIKB8yBTM5wIo5m7d3U8U4u7oWNoe12Z3XDcMavQpJtJDK2cPuPBg9NK48zDFSN
LM9g0f1D6BX0TSyUjSycOXaauTuyrSUL8iCG+9VYWh4HfFw0APjGDQQ+xMi6BZG6FCrfVm7hbjnv
pBlXDhx+mzXUnEWA8Uu5heLjhtsckIrejY6rPrgeEQhuFofPHZhV8AamUVwzVLM+iZSWX5zd4D+K
vPGcjZ3gWpN1fmXimcUv15kp/KewZYNpL4QkjHPpNM0Zt0D9UgrO8Qw6O+JEJgb/BVPxiN2K6IXh
M9etfT9KOY7clYg2nLBiz5IbRkIVtEDbu3EJNJrRZDnFVaFK6zBZEF0OmGjFY7kqYOywrrkFGbXY
O+7TRFIW4k3XZueQz1LtrO9tXL57VyazPEvZoGxyIwneVC8wX8U2vbgkQwh4tlw8HugKMk9oOgS4
/RaP9cILdcqtkSBKAqAIzbFwn2o4AMDmfZHO/DLXM6MDDsFB8mkKuDG1fkYqJcgtMC89YqS0nYs0
3G7cCW/EX82B2vpTt8DpfKe0nnOH3f7Ql5b7XfljHO5dx+ZG4TBMxiROOYzxIPx+3PuEqi65EhlK
r2d3TsTNioGbw3DtCWYKimraGpeuMa19w38Yz8k0eBhoYR35/kqA4YtxG7vzly/zT1UmV5bODo1p
uHvoR7CltF0cdRI6tz6GtW3rDldgHbis0vxwFfb4oRfL4CpvNgq51uiPWdPeVFy071CXv5Ic51lX
Q7uJ4f4fzSwALcX5bE8lULgP5rLZSywSd0ls9AekGEFEa7J3yJj15+J3eg9Xy7+h8FhShjjH4xXI
lem7LGMiIOlop5eQNHbCAyzsOFqqGRhoN3vWZ5CN6Zn5VXEJA5pPoMHAQ1ZWj3oF1ML/0+I5K9JN
UM8uQVij5L00Xula2VW0SEWVb3lgX2YEtUoP96FjwYKENiC2vZfqM/2ofwhysX6o2nX3yZrGCO05
uNZkm7FaLM4m5Jy/G0uZnuo+Ke8M06It1nMGJzLrMX4ICjd3nrRBYGdjznl/ymWrf/dGOdyoce3K
S+q2hkLRz7ei45g39zVptIxQAE8WpcysFvJT6IyKy8pDORCrLOdBwaFghd/GZNu/RMEYyONz3JQT
g+554gEGPHGzEqqjUcbHobBLjAoM7ookuG5sPznj5/xmd0pvqprkYYHnJSOOgohwol6I6kpIU3IH
QBdWT6qkVW2Nue2+aL9EoyTxa14FfqVieEFZj77bGZgvhafl9ZTohxQ7IonbLt8VlMb+MaEnHObU
mQgF8sIcvFYLfWwaH6VLay1u2j4vnwM+J9K2VgdWJ8bNpH2XpqE2/pyLwnIfubuzzPZLlaC79o7J
TbLzO9IznA7WmiuJbtlAYpME2aNsMD8bAsh7r1TLobChGQZpuF1LlAxGaSV5T2VPcD9zJ/gJCVmH
tBzA0mKcEhbYQBwPY24jiMaYLm8CFYzkqf3OxkOLV3UW1X0MMJvRUgr1vimNu6J345sJIyt/KI3H
wt2bGDu2JLYhnraS+5A8lbTj7Ubhdswv2Jm8DlNwnkp+hOQ61OZXG0y/Z9b306hoZhCmPZ/ShdiW
MbX2Cm/FcyOZi9h2cYWteNqRffcOQkN2imm+YH5GXxajNPeSefJZOthU256SpHFtehslHXkj8hIQ
UGNJHmjinXd1RiHpGO/S0rf2/TzYV5Qbgck1emtVVNOvSa6k7kH314USDjoR3IF6Arw3q9beSBV3
hyYAJMEnNFI9AMNVWRXX8Gn5FReaX2RZN7vS5xdbYP66roVG11DNL3hyOLfrqjv2Ic0ZHDXAS/hE
cGtfWAdWIHGRXoPjO+/8nYmvmLu+6x8xxLrcmcI7Zcy8vqXt3jLSJVkCvyOyOz25B8oEwOHDdCeC
tbqRnY6Ul0pd78JxAUKjWD9USAwUMapU3flpE+4yq1diV0NqewsD/HYB7OqLGRb5N5cn/2Sw5Zws
YPwv5D38LcJITbm3B+sZu/BAHCUw42+TKvQjqXURZX0BxZBtNj4YWlCZVKdWcocBiJ0zl9o8+9ir
DlCxnY/Q6torTT73tgyJGG7W2CalAwNzHqpOwJVondGzYg/pI8w472IKbT0hfsV/Chq9Nf4/UR5E
J9OchcmKTxn0mzMzfPLNy5SFO+kY6ZlXRaE7SO7QhxoR8FCatkVLokDL8FyNSWSFhSc2ffSg500d
FX4Y1HwIFVEUIYwnO/CzY5qo+ZJN2XKozFm/uh5y3sBFl9gMx4cbTAxqz2grZJpkmjl1KomzPFG2
MP8ZMr/kNYW//4CWqx9CpFwyKyl+NY62QzRytN9nBK2fxVybNzFM8XMSQ3mbba6fbH6ARTc8B0zB
3JYse2kWFw9M7pMeS/eoSZXfM6/uOU368R1DVHFdWMICWy6CV6OAtd9SRvHquPFJ1QjWDJ5uyO76
V7aAUILW4FHbInKy55s0AbzHimfBp1jSKwbOKF1B12HJJoq1wSA+RUHLzWIzqHWYQJiMhykneXQT
h0FC9LpqNzbCV2TDaH2g8ms5BQ3fQSUq65fjawZxddc7wLFHInyLQez9ji2C/Q2Ci55ZwCwfM4xI
o6JQahvi5Nn7DjzL0HdbEEiQiIIi/AA4aDFvQrNORTUfbJ35+5YM8heHFgJJxOdSeMkF+cJhmqtD
6Y3QrFut3nhplwcjVJw2vQmcfsdfIgzT3mVg+XdeWUvkdEfe1VNn34yK3NhH7dhTez9PaVs8Gv4o
g23fLHR80jcQhlFsYcXc9FU3wY+zNd0kwUDr6cYX2jh4TZ09lO4on6bGSoGs5TaAFV/WO7Q1eRg6
U93jFLfehjp0nyjSww4wd3b4uoIUFsZDafUoiY18TSNhBMOngbR1beaGjOVSPo7Gnx5MDqh/QNEu
Z1qG6SdHzG0f5s5irVggU3FgUxarmte38gAwlCW7U87w4vNxf+QgR355vul3T6J0/f4GA4vr7JZs
pJ7EUuRIZIlYoh1Ys3TgSaTfsJRIUNQ5zOmpsXgIt4M04oxzOx3AfcmwlCksby9oC2HhRdLygj0q
pFHIaZsb2QVJsh0N1JjWaAKL9z2AYwAcSZ7aenDeCtByh8oKm2cwgMOHzZUoat2mfeg8hGUDOixG
3m2jhLjAjyOtzHO4wVpjfmQBSW1ZhRk1Hl76TALbeLWa2hMQomb3zSfZfdb9OO91KOpbe3H8e4nt
Wm4sOcVHd/X7k7w4caJOribbHY/wEZfjwK/wAw1Io40b/p2bNN2+NIKD1dfBbYrVjTiQbW0H4CQP
FSH/a0rlB4aDYU9WnDgiGUnRgrsKijm+1B1mLpf0zrVECR5k8mXocroHlx0zAGw7qmAdhKmN8nX4
Pay2vASDyt61fbnVo00EWoTDy5jx5hRG1b9koJG3iLzOdQWq+kw+v8SbAwLNTczIbvrwoeU4ewcf
DDZSmjZ/8FKi5sjRPlYU7z6RXuzPi4TdZS39iNEKBI8y8uSGKG12Vy+dA0GFodyutBqawWKXqIQh
mxOxywSnl6LmCPRmQ+fD2NwN3Ek/29l275Oy6vczCXbMjXV3q70xP9VBi5V0ov5rEgTaI/TZYTeR
EYq6kZRoPvTLR0LYdWNNg4leSVJ37jPGb0ltX2vNFIO0efiaBm38Hqes+Z7knMa2qh9mWc/vKWex
Gwhqy24BR3gNKzV/7Dnl4cogqbpfkKzOjus217HikdeK9T5o6uE9TRnfxphKPmacZN4mC7lS03Qb
XIuAy9pGz7xdKbvKNtGp2CwQpXZiXGOXM3cs4G37pUky+LE6fi6Ep85eE2fPuNi5oCZ+yU2QSiHR
zGguCTXPAdyccxzocWvooXgCSWEjn5fVN5CEpN2kZmU/rS1qN2bJnreZq9j5EjLnhkX4qruYUqFy
gDqSR4MHzdrhGTPIfPb58DKg7mP+M9zmpZ+aluhyOFmPOWa5p6Cz1UdmkIKHGECzN1y8tqJ0p4g/
xt5E8A4l68sF9cy/W1j9npcOgtdVBjMNP5Vfut0+y0X8IfuR+5U3pM6n9iv/ubbhM9OIUn9Mo9Vs
yeEHL1RRUJiEJHUlOalB2mbt4BtCmM8rUexTVKUH0l3WzgIheuQ3qW47C6YO9IL+YygxFlq6TTfK
plccg3lxJLXNOBfuCo05LBi1TJvXLjABZuWl8eAVQOJh88SY9aKeJb6OqhquVo3DYroJDZl4R3TQ
kUAoCtVKBbCeK24bQLWgXn1rkhf7sKOhaM6grm5oVUAuqIE0v+TcIbcyTr2jClLmvvzwkjOBi6+d
i79yyz2ngO5qhrz/ZocQYoKs4gFKrYXvwSDEtsKGJgZBsnp2Swpz8hRdHDm6+li6eP6uOYOe8O+x
DMXGggmHFlY8YsbBn9JPioRWUzmqVTB/MICetz1bM17Y3okoycCUo8NnFpn6PHfq0YxH+0Am17jI
rAeDJ8FyDWHhkQxY++QaiD+DeOhT5d7GTlxeQcGzjY2DG7iAGp6fvL6qLtBp/FM6zTwOaKDeeSm7
od4W+CPYpso9KPx2G2ICZ6tSvGm4KDDqiuuU6sd/Y+9MliNHsiz7Kym5RwmgAFSBRW5sNiONNM6k
byB00ol5VMxfXweskpYsj+iI7l73IkMyJCSCThsAxXvnnsue0mctudAWFEGEP4ElGXunGBX49+Ey
ZGS6554nqJ3M7PYePdcF3N3ac28eqBOmzWnVWiAeneEO+8zwHTbZdnPrAoIsM6E3eELgEJIElr1J
jSK55WRHUSjRmeQcERpl2qXdCL9u5ISwyjx4suWYHeZvc7uBSMmezUxltDANjbzjaJCBE0RpAOEQ
L3SB0ofWIYuYZHa8sTUInBdMfC+zwF+1mUXhXju3ywq2o9vEaZglrp1OBC/1AtnopoJrXRCchN4i
zKmoGlfa6d07O+7qM1QwpUR1HVzwcdhn85vqCfxSXXXkXYHgYH5EPOkrlAnVVQyneC8tmnUK1MTh
RsBVvkLbtLcM19CrurbmSOMtcFHdGyTfZqcCZnamDx+t16ZdcCRiE+anMYfpsQ/m4EFyZcJ71CGl
pehbrORM/VCYdOGucc351tdM3yKhFlQzyb3zuGBSszGafPRQg+wjIpQHWQ7zOzID4FOXAhnp1lwF
x1LXzBux4FYMr2jjXjgtngnEs4QjLDem2XPmAu+ywby6hfcKYel43GPBDpXy5LU9DMXCh1lTDioG
mDRivszGOxWIbF1PnnGk17g6GQtnBsxV/zAX9sxYKDSdJzEXY33gcX1PqWN925tlu2tSmiaseeRG
yt+6x9bx8mvYmmFnZ9xON8U39TYtABw9SXzHSyRnawQRwb5L68bixiP6Gyvz9TM1atazBwWH0GDC
tMfkimU3ZZsxdbGg2CtniKvHVHMYZzmox4kl60LqGZT+lleQWYKRbFVS2ZYz/IAoT0PjBbBVnzz2
h8yeOURDXEYJKuRvPLBUMn6I1MzOk1Qfw96ZzPOwAUjpvhKVz/u5AzpMxSzvvW8SURWZUW8T9pLZ
zv2GGJM68mHG2Dh368737HtNw0W6HvwY4VxK5eJL59jJz/6bkPS9wXSOo25gdWdG/Y+xMxevtR0M
eyMp6lvUdUDD4cJX9t+opVioS4AO455FMEngtH3DXodC0QPmsCzf/2GU5DqqaQSntJV90p7InxMN
9MDOcsTwIyOxnQqLxNLUHnkV5q02q/FGxlqBRQAeP7Qt3ZhmMM2PjC/RZ2MpvtgT3Ar2Ha+6DruZ
8sl24UuZGkgqtAsBTkWfQLsyxtFwNoYamgMzZDbC2CnH19iT3CAYoU7nNnfUtovuMJl03Sak7vsx
bYPiOqTckDAKnn6xkK+B4E5w0NxmgFBYGv70vmHZiBQGvtIy7/sVU2f3zquoUVhVw5T5m1hNLMtb
m0nthixzkW5sG4qU24i4ZI7f3kGszi8Mzoc7Q3YFKTEQ3rhw9L7Vlf1kY0y4taFhtrFnDCb6IbBf
nbmIVbuMoEk5gFG0FKu/xaPMrigN6C+NIcgD5DjcoHk84i+8BRl/jYjZ30wxp6x1q4z+lS4kMimS
w/UucqmWM6N4vKXyh+ILhbOvgKuj0qtMmtlYh5VYIIBIdevYsawHLH6Ef+Oc2AyyNUGKAnK69CUQ
tYs9dy39iAepkYjFTVNa+r4OS/NeDHZxOxkuKPYUxPXbPHox5YgLpt3XnjybeBgZ4xQ6KQ5xW1tP
MvLFVVxTU7bO6xjMHi95yIomydUJ4WbwQVnC/F59U+FDxIFt1ZsU4mz6OaJzfLJ5jJubPnvh09b3
6yKLuRMw9RxvsRkFH4PRLhc4vkQulWUvStniaFvtfDYFQrtowdXDGnCdazs3IO2bn9rB27TxKc3e
D5UBZbsg7+MCv49hUl87CxA/L2i87pwYkdvCyw+eXxNdx4H2SyZBvmmybsMzBAWMrWyLQ+HMoPNc
tzc97ToPzti7J0MUFMGnU/dZQIdV61lOzr6iUuKQOLQX07WT1+9WhXBjG3aqvOcRiek3bUlPaW97
d1T9ZB9zpdTDLBr+0nAd0mFfv4YIZXjEWwIEXqy0gRIHALXjNXwolpwBd6Dcoxhr8B9JulG3y8pZ
ULyoo0sHO39flkud68y1BWtZ51CzbbbtJbdVdlVBfz5aQQkoAb55kWPBNMGc8u7HzFhtuSH34ux1
Wu8CukdoXymG7D6NoGfXkZ8IxEBUvd+h7uUd4XBzbS7RCpZbxTEzreheC7cCJxpdsmg1jxqkK4is
YEahiDK4zftJnvjXwlu+3cbPcYlt8LevEbUnW3qFx3cemb0bWurmy0SdNGg+plEaDuqo9NYi8aez
bCcCYLhp9k2pyjWRo4cp1gIdUOZyZ2R0eWy16SYrexjjbSJM+WgP/F4+WRNSoqROnIzv9aoxNAEf
Hl/Z0JAGoVk7D+hgJrCiolJeAtOEx3dsAi0OB3qeBDIXJtfruMv1S/Yl/o7BTEsiJkzH5prt6kf5
HZepWu3eRqFQ50GWzh3Ydfyj+I7Y0B5G3CbsWN9EHZ+mwQwPXFWDC4EPIiAmM4W06cRXVQQEDWhz
6miOK7URrxm7N9RQEsjK1y5HBGQDqnihlmbi0OlzZImYcKaWGDB7fWeDOqt6Zp/aHnNe321Ut+Vh
RPa2MRU1MlRmeCXILHmCAmqOpVVL8kjagT6zO+y22RJO6peYEtVW1B9yu38zIdkRLmKSMNap2fun
LnA5yKqEvZU9dzzB0M06XGmhGeUsaSiPbQ7j3sp9r1wHkiTKWhSxRFdWDjMS/GHMMc4I87jI+arG
6Nrq6MEt2PnYSwArJpbwWRIK/BlzbH2sx47EBsLP5fpP2vhaAlaVGOpIdtV4pHPwKh56GJFyNJmp
NuZKlXAx7jtPsYeB++VGk7bRmWiB+TP7DpQNVYDUuaHMkYc0wmbBQi7ySxEq5h5Mp21l98fJbfFn
J0t0rdEuOVqc1kVFU002vdQIHNnbkHoTouKeX9QLwUNDfLAuA2EEm1bF87mLA67e7ZKjU+RnKJzW
uY08Z1IfvpmAZkmTjR8mp5K7lfiO5ll0W91UeRw1KwZtVCgn30G+vJALIyY7u772RwqH1+kSAQyw
jfjkDUkHZn3DHkUU6dXYK1o92sAwjgzZc5DEhlwSfwy+dFRJxuKJna2drQYWoogtlixivaQSsXc6
d9y8OLt8hxYDInL6CGRrpRsl5vGVebPY0sJoPIbL01XutRgMyToDv7Mf3A54ygnsZCZlhb34TJfW
rZZx3w5rUUN6weqw6rlQBGuf4fDVnJvWiUjveDOZbLxtaxmSI70mZt2IredJi29WL6i8GO6I61zs
SA88XevXDrT+NAVFdqQBz9i2JMw2w1T3v6zKTc4dx4kbsVydw3nyNkqZxbXRV4LcAP9vTtyW2HGn
zVfTqOMbHUbpmYZDsS1xfSykfa/jte22r1FXzaQ1++IaIGhx4FnGltqd/JhZyvzIKtrEwsprrnMM
1rfBXCfNuooHWoeyYf7QoR0dQstXR+je4cB5nTExJRDu7v+zQf9HbBDkCkDL/54Nevml23+s6P17
z/75j1/f/8nj57/+af/Xv/ffOiMTMxHWbogFZTmgPtBGA//ev/7puf/hCd+GivEt2+Svzv8ig4T6
DygMZfr0L/qCKwv/6L+bEjA3uA6okadM5cHVOP9XZNCiZfgfNQmc8H0hfRtbmlJS/iYzUo4BLcp6
ft9EXbqDpsRxHMoYvphIR1tMx397eS7/9R/+R9GRAIjZCv/rn5b9x5/HoVA4SvGK+Pwi/PN/I5ES
MQa2b/rMRlMd4uxMk2XeWN/1VlFtx4mZVx7M7MEYm9NVANDI+oVOu45pU0C7dS8wh/WofDZ/8+ei
eeL318ERnuk5piuE76rfOKXlCdchkuztma7/aAv+HNbAgJ5OzINonZNP/9y+ZOC4C+hw2kTT2W06
8/TXfwje0z/8GUDygciEhNH6nZXisVQGi8t6XzGd37PpCU4eZ5bHv/4pf/KOYwH1OEjavgIv+03U
oXiRudgn3t4u3YObYjKHbToMMamSekDB99c/7U9+J9dmxsI77gqHD9L/fL8b0Vgm/Q3+3i/oWSN8
Qp9jV4m/+Sm/U2bS93y+Edi/WEMwgv3tUyUC1I6DG6i9C7u/qlOGHkXW3fd5/PHXv86fvHi+BdCm
fH4fUL/ffpBroK3//vgG5OdWuZF8geewpSOsYifpzf/DD0OxQbTJcXG+/PbDxs4pkc46al8S6qAY
x2Kp23P7ymeArTGRh7/+cWJ5L367FgAuQlw5XBG4Tv32XsWUssyNCtW+Nhz62sg/XQ9IxO4zK5LH
EmMAesZa7iJOGgfyj8g+qIn4ybSOUsaCfRLj34YKqrzf2KkMLGSQEIXS9rKNS0vYpaVYtNrQGQf7
1CUF97+ce/uqqWYcEeXifMB/ypYEiJqgciLvmjxv7v76d7T+5Hvuuz7iG3TP3h8/j1i1xeDS0rAP
i0gcE5LRx6l3TSTg7pOBO7BKAsK1Tfil7KjiTpyKR5Ti3t+81H/2efW5cjtIeUyXHfJv34oEGSL1
Rv4+yzrGKw50iYleluCm/BsE848/yaedh+dVz/ZcXuvfflJUcZxhHeHtVRDn67HDQtaU+Q8dsc38
m5dW2n/8drCZMBEUsSTBwff9z//t4l7jnTKU0GrvcDLbkt6OiWyL8cIz0ngvUTiAeLSPPM3k26Rr
WXe0nlmvObxWA0aFcTj4usr2k1LLVqhz5UPHQ9A7hivvwOqBZmq77qYHX7fONTOg8iollLrHloJK
orK6ZNxlFF2zcsXzauaqO5r+5B2qyJFM71kAG7Wm0aOpxdZ2G5/NW2dm1sqlMyPYDy2ekTC3gnMX
Je4tlQsjKFOEdCXsR8ETuRffkjBK3sEK8iPugWFrZiSuJ58ivLKv1TGtW/Ua27NzO9BgcJg1TJGB
h501XyOZ54ngbCXTxudJYZsFVc5YP6Y9HS0QqEhXPSL3qV4FtQrvXmh6qzCqC0FSrObZu4StV4SC
d4VfZIfYbJMHAyvHrWfmHks7duf0D46sDcfBrnFg98EZQip4RmIQ7/u89j7ksJzNA9N+wzT2gsPe
hxUwSnmVtM2t7Tf2jcojIhbxwXaM/FD0KGa5AoTiHra3JJgbSe/KdGx9O/fMj0KSHXtdN+meX6da
ez1PQwHK6Y2eic+f+jJerGls6q59JtjQdmToO4iQoFPM7+t4n9VD/4sjE68Jk6DrKOKJp8w6C8Qp
QCDh2qJj1evoFwva7Nl1yMYhgK40y5fG9J85tk3tsq1pYbpy59h18BhDDY3ZSNe5rnuJErA2A3Kv
IRQvtRTc+tkXMKZfJZmztAL1Hk7C0G/ICPF+C93z8vWGdt8DmQ7kPHFnr8zeirdO5bpvUSUwDvvC
eYNANHlMN9PolgyD6a488kya53ZTw7QEdA5hR5waVtl4KZ5ZObTZs22D0/ammXzUbsLvoAKXT7wP
q/aQMXsFEoyGCj1tQ2WdbtZgXOqLeD/DGbOLGS7jZA2SvYdLeF4laTddizTHPStbWW7ijIg/oSWG
eix592LmgLPiepD/lLaLNQljlrHxnaY+Nn6uVnaYdoc+MMeznIlwrxIn9PclayYafXAnb+hhvEm7
Ee2LXVLtwfCGP280gA4wNASNXiMeinwUXPF8LQZqsnurPsEJNVchecwHLAmMCeJpNwJrPQrTH7es
lFtCH6M8DEYZ7vwakYPnmjnv75hvQto96LZhsUfHUNbJHfZ/65nZlbqyp/oXJEq9jbsm5nxa1z/8
wGeJ0Id2fTQs4GJp0NlHXopUjjWzFjLgZzd1lvLqQ/AwZSogdpAuHKOiYZzluCGsaJy/YycjA1JY
w8HDePVJI6YbkN4Yhrs+McG0eIsfAmVjTImNbDtMfbQ3Ru7CHEVpkmBxeYdjZjpg2s/3je7Y2InQ
2lEbCFkofNItHBDH2XKuAjEk21ERXmy6xCH2dApJ7rFE9ep2nc8DDwo6JGyeBE+ARwxpGyu8NdJJ
XMHN+u8Mpu0nMbvtliW+TUMjWokFIwkOOOLKQ5S3GG5d5tp0g4anOLX6jaw4HDNijq7Cqn+l8YRd
Qmky33fZbA5d1x0aUmznNoPGXVfOMG/KInbo/2wSYj8Gw0iaRljA5xy8bXe+0XYdbftEzQ+iVvpc
zWn8c0S5CfgmUFuTBtujqRkvui+HY8JM4rVizrSih8x/krUD0N9MxqaYFMghvvwOFfy+1Pm49osA
yyKDsCy/B4XKGCTl8jh0yGYCbN/hTGggo1MSN5QcftF6hZgqrZhQ8l0zrFe20/bZyfR5QLnMEgX9
zziY01o4k3WdtbZD1MpDZt9kyArcrBx2pbN0GVstDxTQxysGXv09kF0R7whM61XWMiNJCuNrlHTF
Dsp95JA077ualTtrh+dBwlpZlnS3A5q1s1O0d1XcXNsJk3plGcxmuYLvScS9WyXIG+z2aON7iHHW
rWqnpQtK6Q3JNrrNxcAgohvsm3rogvsCkdZWBSHcmOecnRIWwPcMkCpb0jQ2dEgUqGlEw2CVaznN
FzZr3i4ZAKBXEuTnleKMcYvee9rBPVD16pkspNdOYdAxR79t9cS5bLwTRUwKlBHcvomHbG1xsblh
aF+trNrwH8iUuW+NP/TNBgkevZyZzOXI5byGV7Woz1IbuNPAxNjQpP2W2uDSX2l/VjQfFxJknYvX
Sx81+qcw2PADiNNsegxZktACWqBdafX8NUFer8J4wS1U985emd61CUtC6+HcTpyGEiTXrzd6yu65
9m9MLj43fAkxWyawosL20zdh2vUJTprhfTfPLAUXkDQLo10cQzHiEeJrPKBKmIORXjjnuRe0Voe+
8WRnA2kXbvIXCXex0+ARKftdC6AykJjKklRn61k59YOQ5oOKKQotK2pIfRjHQ4vZ/TRO2jnkddcd
sQ5FS59xAZXu8qHoa0RylFJJbHKMb4JGm1BX0KdTm4tLV9HhXphR8VZ6jt7WjrsNoIOvUF7hmtN+
+cUNiUEyY/DDLM3+ibArCZF4dIdfDSoaZ1Wa6FSTRs+refZNzozutEMVWB7gmfMjZrivUojyNA6B
9WBbfr0DVbjETZ+eptl1SajZhCMty+if+zQNvyjabrYR781tzZz2qNw62BmF39zPbhbudE4hi193
N1ZhICuIIRUlIW6UV0mXHsbeHFEDQiB3QZ2Acpl39ex4a4rnxG72+nE3By6tX6ETFnQt80nwRmHu
LLtD8yIQIJdjnF45U8zKqM2Rb63ZJQ9wYURmxCiyK9qZ0nZXtLwivkyyfVD41tFhOI/bQl6lTvc6
NWN5HsvxZiTZ/ok6sLuuK7vahFY2sqUVN51d6q0faP1ua+mCcSIVoE19Ty3tM+EaOP1uhpkFtC1O
ZZDjha+QAYedzJ9GPbY3JBGYXXMTPODSPxVT3jw5VeQhtvPEpvb75rMuhpk7N4cCxqkl4ccuRF0v
uDYvnQM3qirCOwtP15rNpSSKKuh9t82s3DDI6C+MyV+qqaCO0OiuI4FuLJ8GXCtctyEIKgwFI4Ym
FmKkCOc99BWoKatZzR7nLGaWBiKO4zsO9pQQhOR2p5kQzKqwPQHWXjwjY4h3lSqwJZgfhYwP3WC1
R/bT7PLYxEETKIBh0BDufaNzaKn3BqcoYEFA+0tX7SY5TcSmKsM7+SXJI2HHMAjZIzldxBldCqg9
uMhJwmrPUT7deiEEtYySYB+xr97b/PxVk7sfNHgFryqncbMy+TYPSOTnZD7A3zwRgvdWuoeLM7pn
LxH9JUKPwkv75reIlu3I+PDi8lnY6bmI5UNI6pcNo3XLlv5XmP4i99zvgRvp8YrDR6pcsG7V2MJc
dR271hn1CdVUqtPXmO6uGz5BMKp+ug8GmxXKqKhmBvPnLgVwWvV7W9b5y2x/MorLdp6orbU1JDml
QSR3O3eiijjX8WNXxpqrWPHUkNyVdcL/6ve0Cn6MpXsdWdmbI5DraDCodZc1rHXz6CkS/sHNETl4
yRsynCPL22zt6uLGlil/dkEyQ1Y9ezd256t2iRwLo0s2jsv8IqoFwaWh3g0yu0/4Vi1mmJ+MHY5y
mDYGMhKcj1BddU/TYhIFB4lr5LbwQ/d2qpT+1WaZz9CMsg2UTyfML3LXB8O8z4fgJzQ/D+Y87j+2
S/Pb8pC/xJpd+RHNVrXLtbMOg9zdNb6ZnaY0gxOkp2w5SskaJgK0Jcq8jnxIgR8G3yAGl+IsHDYa
uhg5q1SBz8P9AGUe8oiA5zHlqd7gDMMvnAhCOaPoCAWRcSYwx/vNc2u5RMwfPBneOvaAK0k0P/qc
gvqWcz7uc8pHUlA3N+CaT6Xmurb9+2i2z3YSvLRTcZMD/6yKkfc9NCqTxWXWHKNorrjpF09m64zr
Bvk3ObrqNbF6SpZUUq3i8qcynBeZme16brhnT5XmTWvS50rY3QVtUv48MgxdTa6bHRqosANte+WW
tCHFzBQwvsd9hxrWicgxMhA5qWLZYKna2NT5wNlWNT8QxfV7R0p+UxMEGGfirYuWcAUCBd9rZ92X
miL7ls0kpztpUysBGbLDpdtuptQ8Fzyz7BKef7CaBxyOCA26ork0LQ8YbuXVr1FloOKIgm7PiOWh
7mhiCcDGIWqpysjbW10bIJRcO7YO5Tfnkk5ODv0jz80xUP3NjAhz1cRjujPBJDn9Ny92CnJB2Z25
EwTlt2HQQkEOcnwUBtZUVZDOHBr4g5Dt6MfIL3VSjco2cuQtFVZXHfDCdHvut+ZNVUcEbIinnfL6
QHNqspUFpKY51dk2ZIF/Tm3Peda01D97o/uLDl1BaqPo6R+xzRcibu0BaYHxUFV983Pgs31BviDP
RGQqcuPITCv0ovsROcoaNZO+cTudbx3GOBsAYgqvaopBQTuJHHLu0+rJXEKTGB9o60NikHIic711
ZmuY9i6quqPOMTpBrL9NNUdF+NX0IwijYhvX1oQrg6NQu+BOPvAYs+qEs1JikmaoC5f9nZSnqmmn
N2rgieiTx8j4+u7gqjt6KxN7OySAOg1OsUvM9pjTYlqdlIr6Ddmru2hR9PUUg5wpkfcPKBes3cgs
JV0ltMiWQsdnZ2yaY2Jm28Ifxp3PF51nKXBPwik9EHjDudK1aTMdKFBi7R+t3dQa4B+C6FjNfQNH
J+Q+z1r3ip8zbbs4jfazSzUyKVvvFHg+FtuuZNcac5rnAexh0MLGogTULcf2c/Ttgcb7kE3znJ1r
iglf6ML85HG8ufeHGktv2BggIUaHVStt+ivD1E/IBV74sRq/p49NuMPQF3Ec1s40rZuAkZsgc6F5
o5roRpgGs6EC7nybdyazoNywmDrGch3iQ8IlV1Y7NyqDcMdDn/PSheyr+QhWNHlymw7Y4aKB6win
khNr11OCtp9ZRfFUGYO/bvyoek+w3txj0DMvoq7tbTTxaAjqFjeXVPg/aUj275nHyTXKBNIeTlUS
CZqBM3yFj7Lq1HWqcVQChqZbiXr52I8wPFUdSNIRZb43YGfXQOcoGJUVn6YIqmZFAQ92B4twbFLM
PwbtmIdwDqfXqMTxkSVJw4RD/mSTmnA48JH12Va4ZX1b3WZ2UK7TfoqvWU9STUkd3ZGP353vyMqi
PDqskSjZ0XXYF8SHyxJ3XN+jHDFgUuerbOyQIGA/6O+mxHQ++2SoxckAJdn3A2GztS1n9UqQ2ky3
zqBGd4vfJv4i0dCotV1R2XKNuXN6nHPCguvMpPNg6xkjLh4nbbLXQbodlS7wBau5nR9NEYKl9Bl3
xyl1NmxNHhLZcc30GzR6QR3t4PzHjTdSJmYWUq9TXblPQVpQBNrfeLnVnDKFIrTEKcTH0Mrmc9Fg
NCJvgczIUbOGjWP5jdwjK5/5Qc0TjXfla7pcO/Fq36CHTHdJUSlaKXxrR8wKvVDitcVbRWvaqXVz
sZ0doo0bp6yDg+UG/dNQT/NDGvT1Y5zazpm6OXM7GA66TWoqEEAmTNk1+o6DVfkjQi0VdxtaKmeJ
zMvimrjkg1ZEer0cyJAUdqgGYxsDSdJWENGFmtGDtqtVyCx9qtNgQ1GwBXPadWiDaMDOWFgP1TvA
ukDqOqj0UXH9uelyr/vVFK6x2FWCYt/xUnvX3L8pNMPCeB+4mqtXei89P9+jUcZty/xyVflmeB5Q
aTghSAuTnH6tg57e1964YeBOKhxjiu4DLrzsEXYwtGz+6fnYq55gXZxU607S5WcYxCfHlO7w3q/T
swvLtEpr/axqpC+YmRFh6byS75JHqYPfg1Y0DZzk4IPvKYrf7nmkDPj+58k+J7K8HeuKP1UbvdJB
xenG7catYS31R/PwOWsifMWIJLScB5xBSAuHFuqmmOBEvcC8aFHoLTIRc1V0BirrGE4UA3uGkzSt
T7YXEx0qui145ilwSFev+bQg9GIqTH9I0J2VTsTPsVRxsMkTTGicwSd0Xo2J0CYwq/YKT1q3V8o1
iGo2pvcJ/ODvSfhWL4w/qjv6zdv7cPDaV8/3klteeZ6LGd3trL5Rt5zl6CZFab/L+fZtzF78ooO0
OfizNSLMC+dgRTYu+MkMlhM+8/LqqrBDwtAO1zyaWbRSakeSDLUPSWdEA2npt+1X6pjWuCUbO5sb
OYysHXO3AFfQduU/cS/t3BX6TKZZ7tTxGJyWQTMfW3+qSPmijMcvhMtpLlV+bt00eUqpBt5akVdf
0wU90GS9bFwCCo+nisYwMLhtFpX817tB37tD5ezRE5i3jEUU/2ntM77QTPRcBaq18znL0jg/1iK7
rVIu05EwV2x6cBY0xQZ0pb8NsmyD4EpD9CeoDYtgXTXVVzc3T0U7+k/FOCDf1iHpeLgvnW+UNb/m
xfgya4pdnTYVOxIUG0NTzupVbbguJwrAwpKZEAsd+sdj41kPRrzxY2aXjN2JdkVzfKqCkcBb5CAa
4KmrDt3k4Jk+D7O9gyccKbh95ASLOTducvowzZa74qpEuYtFtBzgGxuvTVYOOWPAaQN0CkO/adzQ
STeVO9PImeMw0YgeAFbdKw595VEkkjbTOKoeZD/ReadaaWGdztHBrRl4UDM4I9q5aEQ2uKmULR/N
sKoPTRryENnwtFJu7MBpToScTIwW5oRc09NY9UPGmuag5Cu/10zYNEeVUHduiWmxB4fiiSWDHQsJ
1FhzbX9OoubQS3DF3wA/4slgslg9edNysQQBZISc2oH95cgUxGwgprhP2CFwe2Ne8gIhpV7x3Kjr
JpnKM/lfdc/iUx2lsO0n00UBsJGuESWcqp0BpjbT/ls/eeUS8cmLIw7V1uSzjaiUaT9DO5xsfLeS
nmDFxrAc6xdclv0EZYw80Eyqr1QVpAlaX+e3JPLBnhsC8fOqpj3yk4SheQxGsFqTzcgDKqwg3KSR
obnvlPLHpBx1C1ie/czUHDAxxY6Mr9GB07GhbXUX5u+J68+nKncW+nbwGUNkBg9MsKcNKkpSXg8+
Sa+KgLdjvWswq8PQtJTYay+SlxTDD+VgtQ4vxkw7M8aFnYiC+Nmk8OirLET5zBIpeMnDvHwz+O5v
Dc0rn/ByIvzmJHmYinh+oSkwei2IGdMdEwftm2gM+c4U2PmR6Ykm02oGIViYaUdzhJ9t+J6Cj8ip
MhyHWwot4rjrxi+qmCmRZW6zpjTbWWkY7XxNMYT9bAAvHW2MuedmGPy3BJ4J/avGUDV58UkyZpbs
MdpqV5VN8D4zZOELUGb1m1e0wWnmrM2hes6afcoBECQu19Eu7N1Hbl7Fr77oygvZHKTjglPQynUb
UmQ4dhF7Gj/o1zYB8cEomN2YsLXINfZ9mCY3cByAblz2660NZHZhXYb8agyZd7lxxqGkEHn1MOmB
2lZqeck9TdQnEoXUyVm0Q3Z0hsk7Lt4NKupRcFOnw2KwxE1QrxMLj+SK2oDsESe8aW4IwZdnLhge
Davoui6CNopyz2PyKNa9qHmKJsGfLL32GUwpDKr4sJJmuGNgPVxwI9cPLoDtL7fusnNhFinugkB+
+Y7rnYO2gh93lEHlodXbXy6RhF+pSAcMZqjU3wrQk9ekabRaZbZq5MajSJc60sFxKJwrbHngo0qD
AQtSCrhq6hO90sWV4iCDvDea1nkOVZ5/FmHzTI9rsS40JxKqAUhQqSy0CD64dXqB4Z/ec5wfat0w
O+04TxHdV4ze54NuGeu5fq+puRxGXuSu6jlgGLKazVOCrwrdZ2uBChI1jW+msXUJDLF15RoRFt7O
DqP2ijhBozYp84rdMNOktcqLPs/WAt33XhD5o2ebtOu5r7ErrvhIiBuzUwzsVEsFoCtV+N6hd0g3
YaNf0fBUySZflOt93pT3EW+Ut0N36DxpFoTT1sxr9cnRyKFXLM6njwTel+FKVqnkQFuozUEKonPa
8WlO9J488zIZhCSUa+UX8gdBIkkMiyP/VRjYw5NslzubL4d9OBtM7Q1ioBRsTz+bJp1XbI4H6tSw
RlOLkt7zG7BMsIQkXMMtlzn2yB4HWwsC5c8mHAJGlq27juQEKmJZ1y5asZ57gdPIvY03KtqQ3RzF
KnYbFh42/+DRavueooXJsYptFdoEjDpLlSRFopjRmbaSj0A72VE5sSvWWdia1kZBMFPIG9QfkKAT
d13H4vbP6mZCj29ggB1a+TrXbB1YYvDwljdBnh6aLLU/k6w1ryY6TnnAnSdrP/V5sbfTHilZgqgF
IrlkmecVxyHsWJQplmkX6TPOZAfZcTfRgf6YkwqXcCWM5oX0a47GgdNEGVVfdm/5V67h+KcE2uoy
zLaBIsXhaY24WHOeJmxw7Gp5xp/SnSOxZhhs+/Y825SUutu6+k/uzmw3bizN1u/S98zDzU1ybwLd
BXTMoSlCg23ZN4QGm/M88+n7o5zZZTmzMyvPxUHjAAUXDKcUUgTJ/Q9rfetbpXsZrrw0BlainRNh
sNHeCqrgIcwygNdWYwCUzQSMOvb24S5v7CenMKc7A6LFi+Ey2oGCQEYqKeedI+MPUoWpeSBLw2P4
a1ePkA9QVQaFuEnLwrgjpfevhBiL/OG95MUzbVRQHNwWLn57kU/8oFgIE1OVZVjppadneUrHfFbk
zZ/IRob0zm7WPPXCiD+Yfc9R+ueCCfuP5BJIUNiCAuVCePOTvme2DCgf3qj3kxu0J88t60NfN2wR
TNb2qMtNEAchR2thxv3rMHOk1F2X7co+EauOTxb+sbPWOmPYWZIPmuYsmEggkruBMp59syXgqQ+S
sUzmKqgUmTMfatcuLgY7RhndoEvFi74aHGaDEqVWuu7gXPJcoQLmrE8NBtt40bMxMVYR6iBYuTzL
upo4NnNwHshgZjM2TOJcRe5LTC7C2lA9ya8GD/y4AFEF/hClnz+CxPjzt876vYwQLJrpwU2TFtNB
9ZOILeNS4u2zqdbRUNI3mGfbHqcCX990zAWSpWFCm0HUCacSROfLqOmmnUfqfMnFBO2D/JIo8JAl
hz2xLl3mbmMPLbaJwWFdjMblaHb0u2lCASzj+JDHifoLYc4iJP350vMcFlq25k/0OYty7odLL+Is
KXuv9vZmXRKYk3v9nK71PIaXs9HeibF3Nz2H83rJMb0QADm/svHqjrW5qPUYuDkCnrbVDBgRc3Qb
f/4G/1625yHOJLkMLJ2HMvWn9zdY2M6CyABscwyqWEUG3hX+8/ovXmah4v3uTfBsFI/cAjzaxU+v
U7Iwthu/9PasPwHr9pYyDgMEsc04pu6zRQPPMzIhZkf4UDm73r2LKELHDYNxkHWt5Z2wPiXIZrhZ
SifPThjrIfEk/oyMOjIfyjZpPv75WyN+fm94XpvCAZrLM0gz+/lJKrqARBlIcO0t2UIYrS14lMpk
OAicAxMbbchHLzkVZlQAKliQCJllrsM+DS8mgnQ3iBmmV4Jbxqu3n+v/vKPtNf/4d/7+UlDSRBzV
P/31Hw9Fxv/+ffma//5v3n/FP/6/C9hj5ctV9T9rtP+TRezTC7Gzf8Rw/P7Fvwq11UJjtDxTo70l
w0iiHUR/gVDbWyTXns0tIYQSWnEr/xY76/1ic3csiUc8xm1lQV5siq4N/+PflvA9zfWB5EwLy9Na
/h2C49ur/3CrsMux6XBMZS230A/PCbQEVRiHZnjUiJSItBFD5mL0LqZTk2fyw1BgQikxwScbxF9z
RnpYnz9gfpq2dQibvQsqL76aikGQaN5yAhjwX8xVLQa3pVmEpLAa6DfLdah8fLEwdJiG51qER4dR
1HAaSd6sGcwxomlcmdxNOB1wdSSe2zuXZTTra55KCec/Mgm7KpFCmYzmWy74tvB2zizJHmHbaJ7I
Yycw3lfucO2hbT4Og5r2HQ61S9iHSPdCgHb0Q+PBGZV34SEFX2mLTlym4FbIzW0/erFBPzos8Q7d
QpcpmAOuWz7SlTAc4jhGBf1Xsyou7Jn91uDN00G7NbPZVS+GPmVHT8+8ZjvuZFdUaADolS6IaVFq
umiWaVQaFIsnFErgXZK4CNLxB5+yqZE08mFwXw2ExCPqQG1QwjDP524xAYkCLFHGSdwZ+uS0rvMp
N0q5YYSO25MtIoLZvIEEPbVbhJDTWQ/YRIzKnRGKtM4XNMX1Zkwh1K+Ez48wRyW4aQ06O0f99dT0
OFSQZPh42DKKLVO65xaO1Z3ZuiSIwadgYOogiJpVhxCjrkwSRhvPPUc94oM509a1M3uEXHDJnCpV
ifsocF5UYY93RVjV3ySaoBsPejgTa6hryTkvwiY+62Cq+w/pZJePRBWSIqUTNNF7D8/6TUkCuLVR
qYDotYYIbi/aIDrL6xhGz8UgsBitMHZnX0qnE+KCzBeGO6bSQchyoaSyD+ecl1NBMlOOB4T5FAIW
ZGnUJUUi2SbXc8+vvUZRHe1i/lFtyS1g+zaYVXoRDZVhkachQtI3YDbfDXk10LljtY22Zp3Q8JNk
0KJjEjG6SZvRdLPPFx0d3W7CPhvXY3CTtYF34TI0wOJka/82h4n2yOjN/toVbnfAzYvcaJLUNJIU
jAL1A+mII4KyQ0nim3XBel6P2wE2+EfXiZNrrPT2Tei73R2JF6B5Gikeosw2dhXk3zuYPghBpVnn
9zMIjgcxY6TVVYRIerZTUFd66AEZ2w7rPd2oqzAh5omlReVscbcXlyJbXIe2G1ubtI3UI9S/b33Z
GfyqXWMBB3ViHO7JNH6p5VRDYxuRLa0asFdPjRn293Ag7Ud/VBBf8b/6JQhV1lfrXmfyCzRWwfwk
GnyL7UU1PgjavqsYXTrnfk4/SFCacGDfmH26tc0Fl4Qts9shdXVfGBrTxhldS+M/QijeulGETIak
mumLqWvjZjDLTNKl+U6/ysw2vDPsuLq2OzVszNnqX82snqO12Tb6E70A6L+5DLX3EFlmwKk+TD4Z
vSPKZS4O5iWtMq3Puq6z+3I06w9mbTvhrrERiawnLAKXBjB9MgqKrOk2gDfGdFP4FT5/ZnMkjo32
ED7D5QOLmLM7/VThs8IJn6hmppagfLicCLMvEcMozM1+5HYXYUxmD85hCluExJ1aiVY0BycYjQ94
m8Mztmn9XIyivde9Q8p9oZBP8cGRKbxmmINCQaMfs7GZ5+7V3JfimDEYnnZtG2RgNSDiJevWjIzT
FI+LbtMMmVqN+Gq/tZ2NObpBTpgy/jEdrthu8FhA5N3nOZTymVCCCZaY3SvUXDhHknURVcFjTpaV
t0tCFRyTxiuxDGRBSmxIG+ViU2F6RH3UkwRWx0n1kWS1mTlTjiA7NbBsokzVw9ZLNKGZrYGWlQHc
jKqhjr1TrH3vrg6t/GZoxTCv3KZG1CBdua1N36JEY39Gn6tb0P+z78VPtW0Me0lKAHwCxyGH2c5T
76UCE3/rcmmGeHyyrtzUOWQE5BopQejc8a21DiM2NWjgemIGI913z/FQogCIx4hRWJWjT1lnPikV
9URWx3qKAJkgfZpuc9yWXxLipTNAjqzRz30yhod+tpwnxK4q2nZT2t5oRiWfy9HC4VfJ5tuI2Jqw
ahZLILbtOPg4DSnP2aRX4TGr6Q9owgzHuApYnQPDwxh9RDtlrEUkww9171oXzH3a+iLBkRjvIaiD
UQpqPbB1CeuT0kuKUFjNd26UkfIHhBBCvzDH+9qy1biBjeUf2bC5wU6MMj0G7kAxPHdcQGvLmsBH
dbNs4RXpftpjaJdPrDTrI9SN4oYtEN/RAxi6QjtH5E5tl5z6YVMvbuTKGM9GPYAnSJ3hBetq+xqU
KYutDmh7vYmAFeKB5PZ8GgJNngEbNLUmrrDa9LkBbQv5meJkjqePATHXoN5mw4tWnlfGHbkd4YBo
GfA961buL4IK+lmCVdDVMZ679sF20lhsbH8sKAfwh7CWMAb0ecKurrUB1i8lmIIk1W58LAv4SMTc
Zy4XHpGJxF9G5iQ3PCHlJV75NjuXANj6LX0444WxYjabm6qYF6BXuZ3KEEUGxwoj6UWQjy6jDV7m
epaXjdaJudXVOMM/JtAi2GS1ri+bGEEA5m1/mi4GyEjBUSNWDLe+DSGq9KgcTDC1H8bKq75ij9JH
0/DyT46ThB89yKfTqrfMYT+Yy3Za2O3eRflwnBCHrWcj774xQgBV5UsbfAeATpSemFrEEUQO+KCE
/ypm5HKmlCqQTOhpLZiFkLIWKOfFVogiVsxvmMb29XwxQ9Y7ju1Am93DbrhJcaJs0JJhsg2Hoth1
UGkh5c3I0MDy1nfScKKRe7xuiJIiZWfV83E+z3gId4lEQ7hOE3t8KNCGHUeyaXi6qFldRzx22cmk
IBF5jlafLJddAur4fj85Ffd5QWTwqcComKwAQKWHUfgt/ADEypkrZhTOmtzCRjr7shrKA/pcMawY
zttXIUK8A5hJYimzhstTDvBJ/FkkV7XIiq8hVBQSqxgB1owvnfB6qrX1oRgWSKw/9i02rmbY90nq
nahTiucWdQ8hDawcgPoymD/Ytu1ddcSbXTA5Tb9MQR/fe6zG1jwym4MBgWBnlU5x4bFjQKJUcEj8
v+243rVptHK/tnqbp/bp3V8A7EbtdMvad7r7CsyjfWvpQLAv/+W/+o+/2lMfpvLrf/zb02sGnzRq
2jp6aX90riItNYW7uPT+Lxuqf36D/26q+H4m9lY29dpbOPa/NVX2L8zUbQEpmBJdvvlif+uq9C8W
swC6J8FXoEZg/PPPrsp1Fq8sTdriMMKo+du7cS5SKG759574jwH1uLvfDyCQ5ENQclz8ShaeSPXm
F/uhu4JbXU4RKRrHOiLrGVJQk5xUw9yf9VzX8hhERxEfEBuUrO7LGjA4LMmuQnmCfczQNpImYdVH
KCOOey1MAqi4VyP+bDAafKaa8DgOIK/UW7aIwcXMemCXE7FibtFQyeCmcJwsOhj2VH5GhwarhFKY
SDdKrgATAzeO3hLirth6BvZOtGoZ95T91pwGC8Citsk1Q9G69SvmthQ+eUtmhEVk7XoevOHWwxUV
HcaCDLG1xRzXOlRjXO/rbEYNZ/R5r8/SqmA/2WWZsWByRMBKBH8+Ln6EGEkFiA3k01DiqsI9Fa2k
zsxvYWQWEEED7cG6AGd4h/7MTveenwWPlQ1heq9hY71I12jPLOx8hIJsMdY6LgfOjtrunyivx6Oj
oQ6vUBNEn23DbfAlAGLCv26at8ja682A1eQoBIsllqg2OlrQae5KAhh/aF1rehQcXIgDZ8sngdgs
sPNo1cVrOdf4PyBLZg59sZLXViaGazbpxqXMUsyNsx3NNzLKOnFv1UviSG1PVbDDHSC9T32bV0ci
SxuxTT2zIgKcZV61n8izLiCZBtxRx6ppHPOkl/cFxNYMumoXpyrUD004Uea3dY0byi1xcxEVvG2m
fnmzwiNTA3TweN0QQrb2pfTs6qATnU0nMY45XBvEYOIU0Cf1K0Ohio558m8YfNFYQ0UEzWZ+i6dq
2uZJYq1RZ/lHFMQ9y1/fou8TnDpdAxqalCI0zApNrIT9MM12u8MZMiG9d/CK4PQY7I30OnXfe+MR
eI0o1+DcvQsj7bKtHfv3xI8EN0ADP1klCPyEWCgqC1xenvMqsuyY9/VxGIN8D8UKxGLjQfchkngr
5za/DiyJYHzh96FhMo7u2BP6J4HapxVTdnIX0HYUJVTtCn2RYSPYZrw4+/qapUhzrW1y5FhGVVdp
OCg+VTt8tfsm3RN+k32KWie/6WXiHLpFEUWU47QyvBBZaN8EpwR2F6jDrrhTQGFu6nxs1nbiUDsB
K45XY2jisUnHewxrFeFeSXCcOo63Sqn6onRD5uNe4W/UiCqfRO5neKTynt4TDlpOMaZY6e5cP7W3
dj5AssLZueqRuUai7a6rFIrqyg9NSFuT0z2kYXnuy3rfc8wSSuyA16rjsD35JDGunXlqgR9GcuMQ
l1c41r4niQv3DxwYyBmmMu7zvPzaddE5QbmN5lXAB2/bdp3HDbITiOyPBLZ26MVoH4G15izhvJKH
kXywe67/KTNWDip+bLt7gQOKffZsfq1jFhp1UV6WrsINwPQHeQrClxp2vMrbyy4LsW1w+t7IUmZr
YmJng90Z+q4U7X7gO3hbZAoQMGrVDtR/cxWH8McQcaBusYpxPSjFwn1y5keDn3sXx/68DVMi5aWM
h2sdJkxBAVfdJ05x78LBuUgduCAojPsdRjK11fZobxNATbc1msAtW1+qAzebbzjwO3szZaNzCEmj
ozQHi7mhF5bmGglxsJnSikKUJmT6CISTqhY82Y3nIaV3SSrdeqGziNHrb2VF2ITZ6epidH25CwEV
bVthozZO+uyM+s7F2NjQ26cyeS7KPN8h1CRHJCBB6rykgG7S3tQHrgSehC36xq0zVfrT4AHEKpN+
iP5iyyGWBdD3Q2yhSEBIQNgrTZNNI1oJrEXLFuSHw8mgG8oHmoCj1WNbXkMu9S40EDcYKrk9IPId
Kb2VC/Cy7GS5AxOljkMmEeT8cL7/emy+pzYsc/j3P4lyhe0so07+T/68qqpxe4xg2ccjzsZ93Dft
c4gedL5l+ew1J61zsSgoEoW1dc6Gu34ClIX/Km7Fduop0EO7/ziMlsMDdrLqYJexbkGPRbZ09eQ6
+G42dmM4n6rWSs+e5+fXM1roR11BykHDwpM8G3oSDHLi/thTh9Un7htjN0K6vLf6wXipQx9lQaeD
D8qUtOlhFUSPbYRjjx4F3q4ZcTXp3vwEBRzzSxSOt1Xhxhohve1tp9nElBK29Qa9j6RPl8FpKOpi
3eq6vVMqmy4Bx8nrLg3oTnNsAnJMHy1ZmLegki7UIGBHLaedWs698u0I7MeWFscA5hxuOaudu/Lt
vAzezk5YCaRCvp2ols1+HDylPo9OggcnmMUnF9NTRf3LuGtFBli5YY3fWZsgwLMaden4gTzhcIFf
L2Mu8Tby8t7GX3BuGIVFfTK9OKg4ttrs9QnlJwMzWMTyQDw7Guam8qy9JMJELY8h9ylCoQYuyNNH
w7c+BAjLjuVYBxsDD8A2mSecBrGHjNVghvYFGcQy0cXEco0Zyrl2U1bm0Gcp7cOxDbdssADBFdPi
shvaF5nF7r0OVQ/FEGxNXWbO3qpqDrflKCUHRxrPUG46BNWxD9w+zN1nr2zljYVU4WYyqIsqM6ym
NQ8BONWlF1rzves0yWfHSssnBxRih7uwleOn1K14k5widW7aeYQQPdguRRQVGCxYv3TzVwMJcrTF
hBN8Y09UVOc/v02st2rx3W3CgJ4lAegO1gWCsKf3N2y34JNkSD8YMfC4LhluXhVDhKWtlskxz0x9
rHSdDYwUCh9jZHHCweUTJlBERDO4w3gBdb3iMYw1d8M4GVN0niXDHYPAIt/YHLCPddaXQDIjWd3b
QwXa3ooxa0zRsHXVeEJlcBrSoSGihKHeldBZ21KJjv5LbqB6h+LvHl1Qa7cgUEZqQXjhsGzuSxme
css/e0SdXWGuIx1RouI0g3vucQlmeL5mVumtXdSx/U6hXzcQ8CBT2dTA+g5htOTQwrCj8xOxeehL
lZ5dNzbPshC9vS3w3T4I2Mt7WjRo4WOH56OQBf5EpAXNDQ+X6qzRfMCm06w40CEaA8GLrA62zpgi
0KlQkaw7UaPIzaDbveLtqZYxVXfqUqc9W+hhPs7oOTaFjPu1vQQSeTCWMiQfyv8cUo5+Hp0Jwc1A
muXOb5G+R1mFK8vzbUWxG7e7WE0LK83hlrPdgfhPp3ZJdsaw8Zr5qO3XaUdSAcPhPNrg2pvQa1t1
lqPnxUnlmrV/6/de+JwJ29+3Koi2Szbi3Yh4aO8ZQKHHyOkv0hhZl2VG4oYzaeaqZE6Usgq8TJCb
fUGYV275du1aGDq/S6IYS1fh4JciH507IADc3g8tixZagHDndp2/RmpNIIyq2s+9JaIHA4fXRwgF
+cE3Z5NdNuwEKn9iqOYG8HONDvXS4Sm1RuVHvjdFKuLTUJ1VKOIPudmw8E4gLQJW5J25iKRpp4wO
Xf9qIllo74Jo4772YnlVZsW95xF52+NgX7lvJxH8ZfvWNWqEyDNZkEiD2aKT0JK3+pwnfidX5dJ9
iLdGRLRjR1zoW4NiLr1KTTkwQ5dcWhifxPAGvdAUI7XPrWd8nrQ7Ho2P9dYCMW6Qu84a1Mf0rUXK
LcNAPR4NzHMjnt4YQMia/BywIVqIBq4IbuYSYStkt2p8tbthrJlXW8AT2qVNi4uezoQISv5kmCfd
62ggoBX3JTkkhNMeKxRUDMYqO2jxycE4QMMYJ/Eh1i4RoRMzfWdTR6K4lJ1kMlG9FQPjUhckjnis
dEk4YBs8JF70iKeGG8SKaSlUdAENbz6OPda7UkAl4KdudlhKxeUY0ls0BoieMpmapz9/UP0kPdDm
AqKC+GTbpiuFhCD1rq4wKekS1mrqiImERPRTldRXZf8dtfK39tH/2rL5j7fW/wunI8sO9od3ehm/
/DpWuXnKGKv8J57S7Mdxyvcv+HUS4v6ycJDQunLBuYD4WOR+Xy9r7xcFAsxWjCFM23r7l98mIeoX
uJFso5XLF8PmoTD7bRJi/8JamUEINCLHkcvo4m9MQphKvCvxKHMQYfBKRAV6yua1fpJCFSGzBdS2
FAkhMLkVevpQbDsKbnCwRYfKURdzetaRH4Zrz5M6X/fB1GKfbuMlKKhVfbOqHVPVePpascu1OTsr
mTkdYEij86M9uVLGQTPj3XKw2l8n1J1EueTcBYyLOzzknUYS6vXR0c2DbQw89mxHuXXrNcJFYTq5
9BlGTuyCFx2bwB+vO8u+13bZrHkHmY6Xot4UhdVe0ybt0HZvYhv4AlCcCzSXa1XC853rYcZDjxDc
asGCzLUudopHG6aWbqHCdBNKQe/aDwxxAwwk2NtziIUvii4nK9Wb2GArOSMI3hWOfCV7woFI1rxw
Rut9UvKQB8w5r4hVnY5xWbS3M09IFgNm+OpV8MeXONWLXLRPajT0wVQmxPwO4OPg8Zo6cr/6vRI3
LU+oueucnQlmfWXHxo2LfaOI52cPkaVBnEWb+Z/GSl62VXplq3hDItEFkuZ9FJp5uFKV8WIXetj5
o3xFZ7lvaGeR6U8sRVBIQd59CLwQNECEz89JFnNEgAMAseqnFPjvtlXqkbP7Kq4BXWpin1DtrqNu
5MANIBRSlkDfH5p6hVP2IsuKaT9F9n408EkyujwndYnpbh4XJ16QIbEu7edpMFKG7655S6CGdZq6
RRuJQvFL1pAAsyrcPnixfDTzYTzyHTqcfbA57Je67gwYEJU+MSoGCDK607caP/QKpq6sVkUzkvJW
ZsNVHSYnU5TE5tYDpqmpJGAuoMjIGnZDKJBb+rMO75827kTlXSRdm61FQLz8ajZqecIb4JOmpc9J
obzN4M53OixuE2ViYB0US/RoODocJQCIQa6szMS3zl6PVy5yphcIzONOG+kXwir660YRhGSlBN/3
rE7pHTpnq9ggoyhjy1K5SHAZg23zUc5rvKnTZZuokzBs564NmkZcKeXHS2B6LirKWiOSyOuTjATF
LO2gtLICMLZocd0KlT2/7CbFdQEh3e08zChoN1jRzn5mou6OXX5hdLNEE2t2iLHMmp7gZ4lnjXGF
aa67HtzfqjQp9bewtaeAnUuI3U6JwlcbMr2HbhvEAgY0lWg4rlAt98GVYUdZe+iYOKDxsECbQ6Sx
o/KTkcSMULmfwXXiP9IOemFzYer2Ou9vnBC96gHmdT1dYgdLhx2GT7ZK+P1qfZ9ZlVMcEyc1im9l
Es3UiOjquQOInvTWgYUVC0y0n5P/43s62E6EF2Dg7mGg7EPpTkuVVA3utqW0Cnd+ZujmtbD6kJgv
ASR0IwpU+cBTPecLTrXpE011d+G1sX+mG9TTJvZFVK1cmOTFAa0+K2Srx9+wduMR7isdReBsVJLy
ZimkkDUlLZaG4APuT+4QekQc+TMrwxgATkNf83XwF35FFA4DaDjmLsnZLeIs3s3sdDX1FOOqmzDJ
+fSZ+4ZUxaOFNgR8KWJgV7NJm3Ax46DqQiWOblW36UuFuTLaeSrB8mJl8ElXdi/mp9xTEY6cLrzz
8hk6R0psOc8UyFoCFPKnvAzBYE3+WDuriv1qSgCQa1jWF9YyIXHodvs05AV6zjQcq+uuINQazM8c
H7MReYp2jLVDTbfCG/wQt+ohbMdHncdwQfJq+qwd3OlzEqa3MhY89mCtMyvL23tqy2LX943+zOgU
NYJs7fmLMOfXwe2I6DS7/KNv1ItfBacPvNms7ttLl+/LyKBFesdmcBz67KoFYSGpnn3e0X4iL9EN
QAitAARXp6lOyXYKR4zPwVC2FgP5hNRIK8/T4ZKn9sce07fa0ey093FGmuwdfCrAsKlSegOk3b3E
XUZy2FS3jFYdOBfzgWEVETpmmoT3qRLk7ripIPo8QoW50bUdPdTM1/svQTGz78XlpebFrQQfienu
SmCoOSTD+DxCQiDZiWtZrIgO99YWQZo74TdLtGrTnxHRRyfbYODbwxa+1rK7nRhwHf3QjW+1a3a7
Jp3zD8ZsqiuDjuxzMzrlbWmYrF97zMEPDdzc28mvs/Tce0XxnEuHiSgCraPfZ4pdeIfsw/UjcWs0
ePOV1Xon1qjspVsR6+fA0h3W3YTZMjbDiChK2SEe8Fupv+l0rq5K5qLf/JCSeM1IVGG7MCpFXLox
sVqTbhhuFYrk9BtwojpYkxhj3iQ9ykyi6d1PGfKsfcS4Su081I7plQC9y1NhCrcLY+ShwOoWrJtk
yL9aiK++9coYHofKQggAisDbuA4uArrIFpt6NM7ViaWvvA7Sxsiu06S0H4xYVtlVXo46OSSisAG0
kfgUbz0z1I/Ao7C2xo037uPSL6wLVyRAno26v8UApR/MIk+v8qiNxCWxpOoDIb3Ol7njBImmN4dD
NgWPbm+Yt9YogpxxZjpeF5Mk9pdt1MEfPLkVgSMuw8Bqjz14QHpxUCcbp2MhzDMCQPdu0aegJTAm
22I8PTcfRqC+N4hnQReNQVOx4sWAwPjEiGgk5iBbgtCIcAPIbmJF68x5SpmcEtvS0COBVZGycW7r
uE8fsybgoiuCQPZbOPa+JE7HU/GFB0xmPmo2Vj6ccaT+B9hqnH/saLBBo6MwppPj+qF1a5gTHQt2
47bHfyoRPzdySSYsQ351QobTIAFrmZDQGmmR4LKoPSe4inLU+msS2/pbYaGcvrDL2TGvhjiesy1j
5FKvkSDegQvBNzjHxtTd+VXklB+ZIK1HDIzEpsTlChiuyfaCW94LwUkMwu2vEwSX0Pcq74HhlHsb
U7mwCoGNiOu8WjZjszx4jh5xMETWgfMsO8k5zQ5aNXrf2yGSOBJOSYuIm/mqYYXESqiRxmWErb9a
l+jvmDU1ff0yaoz6K0TilA/SvGkmxlFR7d+Z3PBrRs7+tnXZ3jRMox616KpL0kOCD3GDmZxFtIEt
uCTNnVFGGABU4HSYjWI8An+uyqu6KAgMhIoYMwsYPc3HWraOxKUW2ownrJR10bKKSo1QfrCHFrwr
VsYBijejZwwrreviJI8hCxralx8m0eP9K6YJUos3dd39yAi9PAqkzhfMv4JXjjkeln49OCMTgVAG
hzQy8XnSfzyVIvMuJ4Ra59kuzpUS476JOgLXPHgmdT47V0Vd6k3eOZfVDMggt7Ddu2yIiFvwLwfD
mZ84MOL7QFnpa4m9aF8llYBDIo3kKNqaFDJameqVyCJKMLzH2DKx6wPL4IAqx1DBX4/qWGzNRtq7
SioT/h9bxno/jJTt107YevumGCxvNYzjfEpskHdVOxUvZTMxpzdAWLUiwmlamJZDIIhMPX8j0iz+
SwPGX3Q8P4nPcdflZlG049HGH9fivWrqC+JS4ocfesA/mJ6/14t/b6w0wyrXtlylLOcnm0c/Z3nh
+8ZwVGM95Is2Iia4prLVX6wLluHiP4ePy+ssn6/AE2HSEfLX91298Ayr1Z7THecu757i5YR3lxzY
VTBpcBCjkURfU/IwkAvBpdJ/8erW+xXB95dXGGlsD72sx5L+/ctHQ5AYZU3ApF2joSOdsr23dObu
7KU46IcmvdWVrIiIsqfPyVSMm4Bqoje9h5nqwn4rM/AppUvhkbvU/fN4HlVRHF1ZkYZgmgEW83hu
VbkygBWfmrrmUVXgBcU2FaLidbzvgvp3evoftx6//4XohE30/byx2sJl//4XmqUdQhvoyuMcNYhl
KsJksMUzZGKMRPYeZ3yQann884vl9y8qTddk26OpTF0yed+/aO2TctknXsOLBvOVVGRZZe1neIUX
kZqqvzUHWj4yXgzbBb8g3wkq9PsXCzxp5eAL2uMwR8YWVcIrVp9dZo7tX/xWv78F0HdQhqCwYMhB
7MP7F7IwMZdY8PJj1GVWe7JF6XNwIivtDn/+9r0ZRt7fBBJLDV3k4qkxGWW+fyVS8OzYmZ0Utaxw
L8OOksLvxjAgRsSTYD8taTV7b47o8xYR2ykBOGiftXCIqKPkgwhL9VeSFb9pWXrNh/GtPqzfasU/
/1F/956AQefSglgteFvYqf30kxoME+tCR8ckDE11LHXXnsGa0Sz97deR3Pbs7pZJEqqC96/jomWo
gqALj7lPM7CpFSRAIuvS9Du9/G/N+/54kvfOjfKvjQT3X4tlpNb8bGX53zgUVJbNYvZ/1kvdPcVP
TRs+5e8mg9+/6vtoUKF3Yk1LfhY3iScVo7fvk0EXe4mWiocPynPcRjYf3q+TQWn+wgXkoWp2LfuN
uPzPyaD8xcTKiF2Fo0AL03H+zmQQQyJXyD/vKYaBFvNHGk+F0AgRl/vTk70wy5EEjBbuCDGP6d7w
x8a/tlIiHlfgC91jTpsDQoJMCxcfZczwsCIYON9QR2Y3TU2+4ipDk3Rp0c5RRozyyq28BJTsVNLx
ksVVLnIlAnvII8+s7srLxl2nYkkcWaWGdj/VEkNz35cz6eCOAS4wsuE010ONjpXIkmMIN7re4o3M
yr3LzuDzHI0jBH/6K1B34AprYBZZ36zN3A+uRt27z7KqmG5gF94zfdfnGZ/bdcV8aJths157JKVu
S1h3d71VVi8oPo2nCeFy9sFMffeZtJccdXoQgAyzEIuuYBWE2OiJN3rtTcUgjYcqC1wIbw7hX4rx
oOqz8Z7UwG4fsVmyrkxVdZ+nqfQ3CLjGz3CwxmE15GZ5Q85fTeoJ4CuSWPJ2Jg3bskIT4b8hZ2QP
5DXgHqZyXfW1AGAR5MCCslpUYGZE5wG8ETJ4MnPN1A+X0IIXSeCCwSCt6xuUBs5nTR+45MWESzSR
lxt4XyRIiD7ruxkRr9fLS+TGTb5vgC4tKlfCOm1IK5+6rgUSa7WIJK4gttrYPMY6+y/qzmQ5cuXK
tr9SozfDNcABOAB7swhEHySDTTJJTmBs0fdwdF//FqgrKe99Jck0qLKqiWQyJTPJYITj+D57r72t
kyJ5MzuV0ntiVZcsbqyPyDBYUysbwKjCkAQhfqyLY5XOZCnMipb4ACDnY94WEARmt0TbtZUDxXCq
sVnps7IfI0Bdj3Vd4dutZy/2Vhi3yjtDhkm94TsYH1mFZZcCxtgt1SwJa70JsnAUd+3O1MfwKQlH
5G6YMzE3/rhQI41Bjpp/qg6aGBfDwdDWZjxqxlZpEc44DfPMq932KD5eSbXkyYDjyFjR6AW/M4O+
pJxg4ANlspQdB66cIHCQZejXVdlCdekmB+M7wPH2USH/z1AAh/E5kZ17TmLMKNiLYNJsevIyFW/Y
iRACUXtssUYTF+ZuWUzS+TAkZrXpatzKvl5q/Y4LhTq3uSVuVTu4KE6tvfIoy8L1hfMmX3tA8i50
SpnZ3Uh9N8spBPwYc/XFWIz7Y69HzS5rC5tVqOEWGPZVenKwe2mIYo18rzrd8Q26vrRto0zoC8EE
BkgfTRCOdoEjuyjls4cK6K5yI4arXrK75bbYL3qjCeN0K2vsj5Aku2Rb0iGy1UtddaTVNRMtfejC
O4K6EJ7JsHlPOrvwnyDM3DfZu9bJGXDbrXSNvzwZSH+iWv9UfcwWoDQhLkx4c14dFAr9hjt2KcnQ
cz1deWOmbupihoKYKmUdkeMWwTnrg2RrNpV6sgkwvUVJCJcpcxh9dw3nQLIV6azMPWhl/Ayh1PmX
A703FU691IlOqBIDqNTYAdUc0Q/Vr0fpVUzNmAX0DYAohM4al/nVNI8WBExon93ac42FI0MdCVAe
vZtAjMOZpOuSN+xraWnxKyOxBqzZi7KPCS79NvFC81zwCYdVgLr53khZXjtOZe9GXZ8BtitkdIF7
/L1ReXLjToxTp3Gm2/A6VGX/os00DiV0Aq4NnXoGPIjhD95RgJhzj3dlQQ/QlocJEzZZh2uu//pA
3m25a9RpKHY2bko6553+PWlw4eM3r4EpTbAyojGlpDsxVHvKO6OX5xCR+J7Dxs5ZW1Lr6yaaew0w
veAfcOrm2IZV+hRjtSLi0nEjwOefaz9rfVSoQZ7+pYZoBoueVET4WJ4CI+PzzRQmyo/OrD1sXDUh
n51rcDo+WqOWsFnVc/hSqm+hNFlFw8dsoBcD6mYxm+KqcaZu7wSlTTuTkRm+MeDFzxWfFKttu2LT
kqA7mXb8EqJ9wiuNxYrGCUUxrqru1dBbhKVB1+OB1O4tjjOsplhvwMan82Jt9zKxUdPcv9reCMcj
Hs3i4qUaa+eeFpqDUdAUSkZkfuogi1YbiG7uxiCWUuBb7az4XrcwqPFnIcbULfo6REGajNnfmYd0
FDj9UkKJHEeDTiYzqJwbQPnmi0a390VAdt5yy1Fss8mVXfKIDQ/ffGhjd7WH4iXJ8nFfZHI0SehX
8YdUMiIlw/S40ebaG9d9nw3OQ4gb9IutssixFub1i90AuGIn1VKLBS9HrUH7lx1k4SWMBb6R0A+y
U4V9EhFjY8/BRWEU1jcAs0IUr87h1LI0RL1WSosHdxrsMRXAhcy9ZVEX4OXznPEE8VnsQ9VHTIc4
9CvD7UFkUg4cpJ16JqQ0BLAUS9qRre8y4eVzCFQ1c4qz3bN9oUvgDljd6ANi/VmCs1sFIWsbNgYk
OWM7QMoh4rsaW+sDbRUKVEQhuMAWse76CqDbFEMp7OJVUDufNrXIXWhpOyMGt0tOEjiCamNALGS2
rJ+oitQrlxUn8SrCudquRGkN5sGSNqrDZNVJdRi+y5ttrVyyfwQTaJPPJjg0oZOpeTsSIRkxk7of
5XdBtCAQ9hjBSyF5onf0QA9p5o7XM2+fj4B6WBiCPaOOFeHV8vWloNrqEqqqKWbbp+SINih/LM6i
rD+psaNIjA9EC10jTg5ll+kbWmCdO0wEtLcCb/PxmADUc2PxxSK2e+b+2frjPLVvWm2y+JqlFfuD
nqArWnYgr2FZSMgCQ0H297unmwQind1k4KisBFlCjTMJlbhcu9+N36KO+/m6dilJ2eS8YUjMcLee
FgYoNeJ9E46HKtbAlhs9ob1sNOkTLA1lPgknSpODhxX6061xI+cywyRrwao65IBszDUnQu/gmtPd
m3nOzAmDe+NhE6nACnQCF2NnKMwzVWse7abBmBP0UfdWiaWWtMPny97G6RJ/sjqAMeRsISuqMJid
XSGNHDOmjjGH8FQG33aygYGlvMpXBoESdgkpVjfQr/KYQlZZVwKFkZWjaB8ZouBZpDQLvbf11Dyp
souOWW67ER56FxMMD6XxGgWUAHHmNTqAOcCBBoqpkdworousNqTd+ZXUotk3UqCs5z6M84PN6jTh
ONPFFpjB8vSbnZrdDnZgTvcMO5Wd8TFdoxS6fs7S5pasMoQvacJatCEfUznHFhbjnoI9YUQ1tQRV
WPpuKCDqqJi/8hyXDnuEhsLHqzFpG7XmYsv8Ir36VlS5hGzfIJUEQnZQoklnUTGsBO+T3maPgPtD
6du+TXySaoCcuihmFc9gemuH9nCChyTadRAZbLU4xu3HdGAq5siIpmpH/Xxab9wIs/5PQGvlJzYo
Ed+l3cRxEQ7LdJRERIR3qNHZK4NCcEcScwrPblUBRgfOOYFzMrww36R5jFpIo4pYonHWRLodm/Rj
GlgkUqk57G5UOQUnqJ4Ywajy/MyVbdwNaQ/xHyhjdhvNBDFFrXuPoh8xFvae9wnyUv8xae5wcm1b
e570gNZdYOXz7VAm6pnzl3HBwmlqrXO3ZctWQCNdDYs5Ty9YDpbxBG9K8Yz5KS19qfNMrQyYL/G+
dFeSviUtQcyI7gKzqzImZT21yIhlTDEtCmoDld3Nj9KhGIOEemQeqDOkfLnWUzv2ZcTTDTwkjkbs
1FEYH+dOpidbEUE4KMtgrR6TT9N8mtm9LwIa+XvL/rZeZ4MqxKblLvVITxkWDBlhYjJ2elTGGnJi
Ey12rQzQmaklVULwfhjIeBhF6WmvJcCq/ZRgYSBWObOwpg8DKW1czz3XHR+XUOk+1SM21ju7ZC7Z
sd0UREfT0bDxZAbq1S6giE2hTLZDB76yGzN6CYVVaruxsOTB5PPEG3PWaNKOZFeNa1SV3sR0FTKw
Qhx3V2R6HvB61/MxDabgNvWYCS40vpCvWNEVEYozOXMNhng+KDxnbqhIyyNfmZCke0hjq4zYzBRD
Ya/r+gqLCuNRVcY4w4VR5dZ1h88sONpG20c37uAoeSPjIKAUsY07f+zt4rZjeaqdKUZLqocp08W8
8+oJHxkugig+EFCNkyckvibf2w3hwG1FDLZ9yedJf/WgBeMkxbgQsDr9znCSR3cYkmhmobo1xp7G
dg6ZcCsa1hZrQ0B/i/xwEvqLKfFLr5uuYaFWB3SfBdgGvDOP73rYp6wajtYEAXUj7NbYo3mnuw5p
1GYMlON9VHRELqYYR8Y2aiocgIWlwuSqtJzBWc+0B3VUU4p2W2tRr/ldOMjdBFUrOJoNtUL0Wbk8
u+jacIJjUauphmbFmpxIdCkpiNfYcbbP4wI4q+pxYsdGTspZa3Vkg5KQQ+dWRxhpk7cHEAz1usOk
Fz3ykJLtgZB3wZijD8O5H7CMg2iP2z7/EdFRnLzhaO/L25AMlV/ICgBAVFOdt9Jb2V+S2oNcx3Bn
rZqpqxy/5cex/BIyyrw3QtchDM/iJ9u4gU0Aiexut3VEUwPMI1N+ivP0GRZEwEQODPwS0QrynltB
9QIwzyMiqM+XpA3vEvwN6F0xRYMc38Nf8BLJLh1lFflxwIZHdDmPqSLSgq85ZtY7gAXnZoTEQPVN
l0XT+xQ2pnloByNkYNX79ljXvbpXRi3XJA+BXwlspYferDVrNVjZnQrpjPILr01P2FwpcEIqwf8b
uJMNx1gL+zecForAtu7Sb13KJndwNnCv2cdtE0oIrVP42IZmyO+DPby9yuLQuJkwwwtM7AWyJF8N
rN0qevaNgAm8AtpdNBrrrqGZgVSO81Fz9FMLU4v2R2tY3JjSpGpec00WBw1gwjqTTnB2qqxV6460
piTVZDeZP+e2eUMDhHlXx6W1iyu2UYmY9PnNNHg5JJEsOn7G7oFX3ttbXqjz9SVmkc0wt4dKL+hW
bnXy01Pc/SRQ1SU7IzHEsTcN50AMhai2cuHkh0Srq3Xa5C6tayUVchDJbHpeizrRsmtPqZpziZwZ
ha78YI91mHonV86knOmERlsq3IDSj4rLPrbqgLxyZ8cRibkYQIHP7jvgxKYnfPMt2f23qZv/A4VL
g/gwUt4/Fi73NCH9I3DO71/8u37p/aZzfiNU0oDFB/3v1kbH/m0hXBHewvVo/MX0+FcB0/xN2LZB
y6l0XCGEZNXxu7URbZNJB4Ix5nPb+f6//g1rIx6EPwmYUHMMDx3UwtxIBNQC7PNrjkYAkKwGbqm7
AhORHzvtVKNcYiUhL1+/M1MysuiR9zjUtruTGqF5jpPOd4YkOAgEjg+9mYt92rfYTFhfKHAvO4vs
xUvWpM62nGXFB71L6/e6Q+/y2hqewQBkRAva8Y5zkw4jVXx7RLrmg7N42o1R69yB7se3H+mV9R7Q
5EKBgSWjba/l28lTV3FiZScYaDQiEtY61HN4kJIejAlOxpZc6Q10mHpfeaF6kjB+PlJN4rCOoinY
NVqgtmZh4IXIkmz8CNFLX3h2qSOpbyIScux2c1tGe7aI2PfoANi1Y638UGRX3hS7Nybmr80kknJf
RhAM60nJ1VDDLo9VO18GEMsbL8HWQE5AMshkTBOE+OLqRw8K+TOGB3fV6Zp5rF31MLe691PMLVFT
p7YWQQ6Hp5AlSS4m3bZaZQQmnQ0tTsyFi99+507TyNEi0ieobfrRdMfuWKTiHS5ifxWkcXwG+9lu
0fXoTwPfdzCnlmcWxGSUndSJ3yIMlj9BsLqnGhrJOXTb4I1WPFpSxtbWvuiI767yye2fSuwEV/zC
+TltbIVBXaxDW7eu6RJt8ZC78FimMss2YJO/RistfCkjVO+s7/NjnS779Mx8H/IhXwQod2GiIOvx
hrd4obTi3spFss2AYfiRq/Qn+uJYI8qsxtBAB0WlUuPKjKJ2j7Whht7k8aOHgoEr7FASerungwCO
8snWgke3mQffjo38gc0+Wm2L8tvBAXkepyrdK+GW695y8ps4yxKwoW5EOVTfQQwUFFE4QYsI7FCu
wCG+ye3oU/CSBCz8K/vagCIAUMIFtBToZwTB/DyUs/dhV1b4Y2TyAhBl5o9wMLOjC+HmYShg9xKM
9uqz24P8Hypd3LY1hIG15mmWL0urWZAUqvporfbGsxpoGSqsgGck4nomn0h7lRyvI4Q8niuCd20M
9fNH5nii9kd21pz8vGZeYui+1hTqZYb7f9Ig/NypvIJKEVfuFnRFszLH5KO22oXv0uyqyXEe02oE
1pMjcDRaeGJiXOA4xD2goRY/DHfyrkEnzBCtNVK5ejAY0SJNhtddqYcXczYsvwOuEvEpYyaFIgwK
tzUJqlBlROfRBM7Nwc7y7s7AVdZ0P9Z7DZll2+DoJdCTwm4t31tjPLppkKw1ffCF3qGtlsNV3pvV
3q2xTJF5f4iY8UOjEIeqWIyaIpKa/8tZ/Z/YDpxlOfTHvQ2ra9ZA7FsdIg66/qdjb9I6ixa8kNYy
O7z3Mhrs89S819zxBXdQ8k3xWdtOWJ+dBm1ujfcbW2Y/VrwkTUUxlsZcYKALRUjylAzhqRJLhUWS
9Z+pqUIon+N0cBhirTE71ObMg1uo5sVtu20ZoWbj4D6KTLiUyMfvdT2WZLON/EIJaXNgK1372Kvw
YRrwDUWd5xaCeF9v0iY1l4yxKWkk1DvCeaSdgwG6dC/7eIc8l1/AB3kvWG6Kl6knkQSWongT+G+v
7XCqr7OwibbRYORc1wbnCftXcJAkmi5THvd3/E9n28wqfkoMMzqOPRV4nte5mzmnLWqgj31XysE8
C3eY0JrcDked1QXbEEHufsIe0q+GOUSAbSMkcDoltilh4B1eHLlNedJsSI+qjoOYqFnTBs1jB23O
D02vekzMBIJPVlhfEjq5H3dpelJgbwEB2cmpYvhirGyF/ah1trjxZle7N9sBcS3wQg5YVy8/GfnG
RyrM5KPtlMUlCurm4qZEi3TuAnvTsKJzUOvNXvQW+BrX7/oIUalErK7dduyIKxnjrRiGgYx9nl73
AzADihdp8SOiWfAboXyKkHlzrwQWLC5JOGxLQ7xZlRk8lDBSvHWQ/Yi6ZMClM9sEqGl2y18okhuu
UGm789x0EbfSdjwVmM/OucvOz5VZfHZsZO9VA6N/21CEumiCbrTWm75iGB2Cm1YbqlvJrabe4b2b
9jYikm9bZrFpuDltwGOmF0Tl8kqOc+dH9IKu8tCsyPI63i1FbuKQ1eS3B+fAnWaNVfNmEhg5F/UF
og9O7ulqbCX8c9fBEcZZuabK7tIuH9xQ8hEOlg+zGRrRbT5r2pe7fMyBvho41bEiDY3AcUvTYtFm
9m7+Ph3U90lhLYeGWo6PZjlIXBBJ3EFiMW+6jqXAWiyHzrQcPwQ8ox3cn/FYDCUHTyXq6akIencr
holjzSjru56avdOsG+rFHqTul/hV/VRrxDb/Ph2T5aB0liMTCbzDc7wcpIzIsbZ3WLnG6+77HNZZ
XbAp0aaOZlijdh4mvbRvKNe1An9cDve4ieg4cYm327sWUNdR66tq2y4PC9Uks598P0YKMqtvQ5XY
nJe8p00O65gAeZb3+qrq6PQp6Y4h90k/nE82j+ca4Qh+sZOGYxZvab818hoJem75FTnfj85peYqC
mvqal+eq+/2EZQ2WrAvl2ETaefjqzFCBF9XsNCDn0SvrujCr1HjKM4NuTk8bDwGoT3ow83xX8fyH
VpMnh0QpgSqIMOUbvWeti7EEfe5laXplI40dzK4kGkIk4WdUSvSC1nbvqJrgFtlwZ4P13nifNSyd
y5gN9nufqf4St1P8g0au7h5k+9j6XHmcQxdGcJGDRqNyQLfiG+CQg8vVNzKvpWZSr6lRnMFgg1Yx
4AhbDLjCvrDrjqgpqPLrjoQf9WqD07yNTf+ky6qCdaVNES3iur3NA9fYQY2KHpyQH5wIoDg0Gtsp
BHHZE91wEZAqiH8bM7W0iz2X5sGRo3WfJ6W8oCja69iJeX/kNMdXNNPRk6A32cHUyMb7eYwxixZx
l4JNowIc7CEeXhGppMGtH7jlk1Z5G71ZvbPZqHiNZ1xPTGUhi/sBy+dKytCBaGLwMk5ODHSOvvoI
KVjC85MVTNbG1SDu9MM+T8bxmDhcOxc/IHabWoa3cajpz8bIwp2r5AN6FZ3UpZbtEM7iI+VjLUIg
yORbFrLpS2LKgNos3TahhuTdW0ir1UulunajO+QS2dIGO/7Im84yfMN3BCwPN8BJEBIOF4IGODbq
mm41iK3E+mgLJCbAKISsK61LzI9Bz2gB0JxynZKePiI2nzpBwnFF+yA2cwhfml8hpm/dGL7d4jd6
KtvUOrIbV1e2iWSKBqQ21JvBcaAh9eCIKOUHKNimuEytm4ZBGOlBHoFQf1EH/DZRIrvjAcbSxQvK
4uA0tsunfVj6+5I6vItyc9px8jBdBqn+CPGMOpMyfzSsSjxZtUF1r8qqn4NtJz9ByjefKZ9338P7
uu+7+aXwdETkDAxkktjyYFvllZDDTYKtg8mXMgE1jnKTksyiXCZjGbHRe3qd1goXh35qKqs6uJQK
r/UgtY9onOZ+7qpkYzT29BxrvE91Ok5P4wB8gjbG4B3Ry9qFxPwHbvLLbDsXI9PiEuwcI+tDqSiA
GFlrW2lMAsErj0/VRADjpAqtvJNaLx4ihvhxHZdj99nTpge+Im3dc1EXnDZ9aCb38FJku5rxD66S
PM23DhaDHdgWm/mwItuhBbaMfQhekr+1j1+zuLdWgVM1RxEX9Iy7hKHHPlvK01xKN8mkr11+0Amd
lWpfi5n8JpVttC8aZ94MkKN2VTCP3B5Mc4UXdTqMHml5EHXg+vTMecqhcBLupabrKveKaWuzA9ya
hnJeojo2kKBj4C+ulpKhBlcEh3/SoWsXEftNjAKHBLnNo5tmdvSvBfsE1iwwXrtec268OuDxWD20
qUN5rYD+eydCwPO7IaZoKzFnPgaR+5h3BZOl4tkOedhAPGmGHTXq7YoupHGnK5n48Zjpj1041vTc
QI/266ZvOJKIVoeWqG4rJ8jFmkcJ7++MvM4Dd/T5QeL1RZfRqQXGXoq/IyJoXvIzX2haElcJ99aV
FoTyimpd7AhD3Enf6hq32HmOp93bPKovplEMX1b6FrQziGZQnysRzpG8wT1u7VHiGIu04ipnOWLp
tfSbNiPzX2TJTsYKjXuk5tIeW42dyMeE1SjZQu3qls1ERnTbcwyMB8GZuPZ8zUB46gTBIl09uelL
Od9NUbgWVgcSpRDJV2KH12maF7jxK/3WsYP6mffXQj+ZupthdsJTFhXVk973Qwgij6v4WuM5u/P4
RD/Pdjv8YKNuPgeo9j9lItk16q11aDU9OfIkiM4yCyB4RslCYs/Yn2stQ0USHjo4KytCOay7SeXc
xkkl71hBTC82O5GV5ob5oZktoocJPgunIPO0p6OZ1GDVOeOT4shbVwUOnsX8HO1Dy84PWTzRumgk
mKToBbwXbI93rCfn3URn1haPbLK3lgoo8kYzLJRg2vSxMe6ZIXV2cCWV2EQ89OBiA7E6WLUat2FG
E1sqjOgHoWUa4gUlCOyUwBFZjbcPs4zyPNYgOMID4ih8D/Sehvm86asuear7iRrtbgypz4zzuxA/
P/V6NIhvQUOMK5fIzc4w0h+wBqsj5m61S4OKgQyS5BZXFxdfnG4PdKm0m1lV5THhzIA/OpF9t1lq
CZi52oAfqE35BKaUI/Ppb4Z+SbexxQU1s+68nK/ou5yat4BKFIpX2jV6sfNeYYbaRyknREDczW87
Ugvkpii0F2BLuwI/j+GmCaH0ktNsGOphHaa2P6k0OAkjCK4Ko2BfGr3ZqBNJyq4Z65gRBacmD6DO
paO5UfS7dLlrwUvGCJxB8zkicxU+48Mdl9MFPjfw2gLNX7HOyK/g3tD0PfSOz2V53sSjTWWXiB0u
qG6anSK8obwEgXEYmtIg+NlTBSLa4isKaLKQA/5Q15zY8GiBUa3MgFRIAY3+Q2Rl+kxxd5Ph7BDB
naX13lXBoH3hrkKzVYwPXJ8k8ootW/Mxwd0EQCCunnMJ3UdUWXkiuZNw/6sAuA66u9fNONtZfVOf
C7No9+w01tVYsLSkTHMF72Lezk5i7PiEmT9wKOWXTksI1fVOs4lzBIDIo2FDRyfvkvRUCvs4tvvJ
5fVE+31uIWkldeTeiYKKrWRwkkfCFtahTrPsTNsyiQk+ggf8T5fQlMTw/0vU2/9FrlPszd4/dZ0e
X/Nc/cf/ec2r//sfp9c2Ypn9q//096//Xb+VvwEbMi3mAAPjKBLpXw2ojvmbI1n5GI6FiIoPFWn1
r/qt9dvyNZbOc4IyBvY5f9dvxeJnFQa6r8WKDlPhv2NA/fa//iJk/A19bv+Jf4RZLTQUiuMuDxqw
vvTlGfisrHnF3bq/rqyUDi4vIGkEAJw99Uq1VrrRtboG5NtDRwvDeku7lX0tizECCDw6fhapcZ+Z
Zb7RFncIXOEQ8w1r5R7oBOflEJjtqi676ZALpqYMpNvPcZkKHC5zmxYWzb7Mm/rGUCL9GTYByrFT
RjsQc5jeVJaevNDzDrjTeFgv80deRM0R2cFaVt7xK/F3eWL178SsupfxpV0mGXeZadJluumnPluV
3yPPsEw/5fcgxL7NPc8qpFQwWiYlGHEMTUhY4qFbJqluqimTYTVFTh3Pw7kSo7YN3DLYTYxhlH0Q
enfBlJLDo+asXAqN1iB7rV25THGZndI8vUx2ddLDGmqL+VlLidRxzzb3xjIL4pCbHhRuH/3Uhm1g
rr2/TI8q1zEWytymrtHCUiMyRav1EJzsxKnerHQGC9NWGsYFzVgn37PqMrWWSZH+RA+ofoaxp/b6
Mt3iIBmdtW5HxTFepuCZm3u3rrq4eVcEFI+mMqTYMS6mOumx1j4MWk8blUhi7UHTcme8mi0HZX1W
LM5R74hzAqRenu1ac5KUr71qVZyyVbV6b63BxdnEegaPfk74W+IqIpWozKbbtEh5FGSZYhPN0vDn
TFLnuvxJMgcTBodYiTs0y/yrHvgt+KIxq0dCBxz3LqCh8AciGkCknCIqFBvZOugHeg6WxErd8Gbp
YTl4eR1dbMEIZmBEwj9YEYbiZWtoVa9VNF0C4AYrmMuMp/yV4tLwLb4qssiIcVrHpmyqqf52tG5k
7hgo/J0dlpvchuk8pv12m0dG8DVVku+pzT07Y8aMPDRY3ipgbglb3jmyDV49XaXUCAYa/0HzLvpX
bEO18SaPgbU2inOAl9YHtYsrxEXLihF6aLqsjHirZvoKhZjju5gF45epp+I27TTLWbqmZjwIDKAe
7ks3O0nZ1OYROd39LGMI3GuP4Hfwo40WuTBMi7Dbduw9mNktW55rufhVwGW6zZ6bKeNzKupHYUbm
1ipIbUqTz0fUstFVVTt8WDhjWWKD6VX02bgsEFI7YEzoEsvae7HbABdg+bS01c/mm2OEFFp5URfx
9C6i4ar1YA34rRtrn71mzPfsJ715HaehJk8D3hRIgAZ8uQaC7160rGJXvaWz9bBEiJuYCMr4FijZ
lutKGbiTCKMG9w0CzmMFAx4Hb0t+e4PuOV2ZWlN/QbUZbqRtzg+0F2bDrusn3W95xbxd7rpsdfVa
GIjhBB0h+pYKH4GbughPoQQyzGVz4u6umayHcUyYGtuYuuinjcOF94YAU3NWpsxvi9KxinVWuuGL
Ww8tDvZwoPApZlGw1U3Ne58rlK0uqKH4hjYqReXQ4/fDGxIdo45OojWfgIIXyG0FNN/dhIWE8H9Q
U8+HUdz90llb05wz186pI/D1Y87FeKqHmAMXEDqXcEWaCF52NVAbFQRk97uy6oxdRiT9GvXLvZ9w
q5/VkBHFTCu34c/iLVsZ8OyTdRIp4wdM4OFlzEN84gZtDZfQaUs0ln5wbvPRdOh1nyUmuRnnQaNZ
ADIiB3kuMYIj4bpyNevhcIBiFG9DSsIPndaH4QrvKy4CLcnubAc4RYw/A/p+FTWfCAxxdC2cfn4F
omiwWAF2JMA8lDbsynE8R3FCBcUUQL3SXes8u3n/LNow2aKjQwjl/Nv1Xl4up4Mb0SsekKcGcVKw
IzKr69mVOLFmrxafJs2I10jK4yZtJ6RU3Z1xxyq3fQ8wwdPoWIhtD67tOLuz+sSVPW1LHC33DWX1
FKxaNiFTZKEjHVvpq4hZrTCtivAmTCMdPTNr4m1tkzsNG2keMEdbnCOVo3BaG8apz1lHeBoRBLCe
8W6ySprVNL7mEBtheqYXd7wkVCHuOqrKj62EkxiGXf0jGPD/01gp1mExBft0LNu7wW7Y0riB89Am
Xn+JMIDs53zipOdSe3I1ec3esDi0vUYt9dyyM3MS6ZxpTgjf/ktGu38YO/qfuJhnT04a7B8v5s+v
aRu9fgyfn9UfZrq/fN3vM92CB2L48pjf4AaxBvrbTCfY1htLyhCvk+n9GioyjN8cneAQGSSL0BiJ
o7/NdESU5BI4MtGZyS6xoPi3Zrpl9/T3TJFcRkbHcBwdOLRwdSDQf1zJ2+UQRA1cX18O+dHLsZwN
bnYO8+aFXrJhZTm6jyxMWrZRuwAzGBcV/ZHto34u2/7JHJJnVRFnaeZll96rfVd3F6oFuX9JI/ZJ
KcR+XbUUL9jZU+ci3mDMfxooQ/T66UhWl+elog0D0txaDMnNL7+N/2T19ke/wfcP55oQlHTI1cTX
l3jYr34DEg5RByLV8sc88Qk5btPgq2iqC6zr9b/3LzF9G7bksQS3idHdA0/1678Uao1Bsii3/NZg
ignJ2RfaeepK7JHhv9gnLq1Kv/zKWCFakizY8l+mzX+JPwGiJgleTeNwws/Vvzu4rVmFFj87+ghW
jWcAn6CnJ5M9z71aVr7TK/JWktpHNowRxY5Dt+e+v7Ni55k/9VAU+ZVmi9m37eYp1IZTKZ1XEfmW
XUkcCuVbM+bTGjIh0ISiPk9WyFmHXwK0vn5k1dceTGR7LODpSCtJPPhRML3Kfn6u6/jFrB0su6lu
/4uX21h+c39/236/BmQpdVtIrkI2wbg/vt7Y0aJ+4iHql667ixA+jHyEMhB11K2idZZPWG95iFDe
EKEXxgFOrT7/IPb/+c9/79//0B+/EWdJe5Oe1y3husafvpEpItqWhzb1zR2Hq1FDyERDfHLDljIh
I3uH8HbCKMr4m50aNT+U9nRLQsbZQWXOVrknbk3V3C8C82jXOyt0XuckfMknY4s/9O5ffLNLQPDX
b9aBKM8hxLZDdyCdmX96lxYJvcNpN0YbMi5IDmgYjj48WL1+X2vyihn/oaVSOfHkfh7lLq71R8gu
YIcs/Cxc3JqZ3S8hcgfpYT0TZY8kLoSqsVb//Pv8/367fJ+gJASKGB8l7EzLJ+AX3q4d1g79NY4G
Jim7r9wE6EGek2YcxpvBVifaNHG8JCDYLdnhjm3mF/ys91NO9pCJ9J9/M8tr8qfX7Nfv5c/EXdZC
RkYpSuAHJPjHiqJtiNM6spTlit0yAP/zf+77TPrzvycJsJFBNaj9+7NZwKGFw52xYPj/j7oz2Y0b
2db1q2zcOTfIYD+4kySZTEkpWbJll+wJYdkWm2Dfk09/P2bVPbBSPkps4EzOoIAquyR2EStW8zfY
jRSA6/ETdxDERRuFVWF8wupX7B2crv0RJofXFHZ6byXLFfnwN3uhU4fecxfEE642pVs+RYPpxeik
FVn3iLqsvAHggL1k5M7MWdMHtwCZ2Wcu2ex6dPrOOGTYiO9qxGK8dsR4SVQawpTDjeO6NLuhrwWG
gSh4o8TQ/HIYVm7XHXpHXQKUn1bagpAd0RXWg15f799/M6+DuY0qn8VxQBeDs2prg5wtikVX8w4q
BpOo1QhWI95n9d2McrAsbt+/kHi7TWzwzByK9E04f8/bHeYK1AyjpCTQMxuXcfmrRDl8Y1F03rqR
190u+Subp09Gg+P7sHzUF/E1cgqsPrvoG1qiXml2PxGI2ZXq5h9Lc6Bvb+cqD9+/z03z8Gxpvr7P
DXfy2zZRkZwBHt7gOrDCJdGmPROLzFOz4inigIbYNo4+w4OUZn/SIWBc3rZzvTB2aZ5ixDAYpq+I
2hmdEsxzox9IRsdbHGcLPxOTPJgAPMO4sYzr1Wrll2HCHqVu+rtx04s16gGb3B7NFIX+BUuNC1vq
SImOaA74LQPJnQlfWaVJiwCs3hCWRvUX5MTvUbKB9Opp+baYwxdBUu7jtTm+FPWYe3MUwx8dmvim
tKoV96T8y/vv7O0iItthAkJqRUuME+T1K5O9S7qhl64fmxFYI0kQHL1Uxxy1Fvv3L3UmgbAt2FPO
gRW9AHNpngs5zpnaDJ1eYeIiVv16gPIKYEq/qVugxaBiEPtCXNoql9sufolt2rwVXr5o83DATn2F
fOOiWXwUs73X3OXCzW05wusog0SIya5F5JLddJ725dmowa+RkZ8V+fUS721TuVmbzxfewHmmsiFK
EbMUIO3waxT2WabSCgkdzcoRkQRl4cz2fFhM/BEjE9hjmlQ+89uPU1zX3/PG/Az19MHsdBCgEL4o
nQcsHYoaCFRaBnY3I0xsJsdcwXWmjWzjQkLxpzvF4oBDkWVBB/AsuEBaiHJMGSLfgQc6ZykdwAzF
uQQMVoww0c5K7D2W5TcO0Ib3X9ImL/HqS4BeFHT90ITgVKYofL0igUz0axXjeMDQ4ku0cQlcqjy3
8vVSfBwXtL+K5sIltT9dE+FRYaGOzTljnn0Xt1hUw5Ym0L4mChHzBAya1vN1bSBzIlJS+2L4kcjx
c5MY37PU+i5WAXNRee4xQ/USGHl3zly+ZPTQtMr20otCPW8CsIPBleOS4G7oY3bR63cyK43G2K1X
aAkNfprheGBG+yhju6xTglCaXEHksohQsmfAmFwPq/Wtq9p5j0Ly1xbwCEKMxkcxjS8ZcgDFrO5j
VCJ3CO/cg5kNERzhqKqYD9bVDwzbnMAe4v0YK+4VOlDhWhvTdSYRtizAmizzgFiO2f1aCvVxWIyv
Whf73VLuRyTGjBh87ogT5YUvZL8uy4gdm9CNisiDa7J33PP8tkyZ6uL9CSNjtB9FYT7QljjYJeT3
usbYLnf7NujM5LaeY0gMEX9SmSUz7rwL0K/82LfTR6PF+UrFqptGmuHNouWAt3GtKdQnGwiIX7i0
9TSdrk/X95t41+I3U7xvJ0vbAIpHOzYm6Bkwjs2qRGPH+TTq7ldMJW8hYfgyBw6TcRpkSwnTEXjN
Oqw/cbSv/UE0d+2Q+tj+wa8oPuT5fJyz7Chz2r7Mwr+Pfe8ruh5DoKb51lu3lSLDhhokmF2JtV9p
rXQZ6fzOehNUiqrt1AniUV/M/oLX2j6Bdo0GKT7oqsbQr/4xtfGHKn+yEaxM+1/v7883hywGRxZF
uk1pt41mziLDYJVRaTc6+ZhAD/5g2oexOjTgeqp/Ur//aWrD/6Lh2PbOiKe/vfC3Us3lz+/F9/Jf
38uf/7pLf1TP39t/XXU5/9n93lL5r9/0d1PF1f/N2Y1mD7QFKnscf/9/U8Vl5EXyRoXsovKF7hA7
659Bmab/mz9BqmUrK2yVtvB/NVWYu5kGdAlijSnQYbL+o0GZdrZmUGbRsLdQMdRSXdVEGPp1/Oog
Hlg0etswwQVkl5nFMz6XMiDadbskamuoCvlLjwsAwR6HE41yxq2YzDTg+bBR3Bz5ys6PZpQQoin9
MlbLeOG8085C7HaL9JxU18S5C4Ea9+wW9TEyVU3GLSgnEn6FqVMQJyzrJXGPY9N8N/T5zsK9s4tF
h2gxoKLfvvL93wfc76Je/80NkIMJXhVmDds7/C15FVKrHZhaxPZtyqKvMwIeWr5N66Ig2ZqcQwQy
fnD76yFBqhEGU3fhFrZT7reT9/QKqIdR9DHZ385Glvn9DjojFW1e5E3YDvGyA3DyOCTmHb38C/pl
xlly8c+FLC5jIN1Dr+D1haw16vplqZqwrIgdkArdvd3XT1UDt4opT+otVlR5DfgA9Nkm17MjtTwq
s3gwgUEcASIqga7o0fcuM6egnYX6UZcIY2z7IsQ/ooXVVS0hngKMYGpazVIadmCCZ9y1w9gjexyv
JNXiHmoiQ5uIF7k01leq6Cu17RzfSBv69SXjJ3L5JUQ6Gw/A6PM6AehPCloW6GbtkcWZ7+ZOvmj6
iiD+mD+XSuH4+CHTV3d/ofH7UV/tv95fJGd5Ci/uVIXRW4Pha9Amff3i7LVU8zhtgNnokQNkY/ma
RaRoBijqSIiNzR+7O7sZ3QvZ8XlXhwszfSclc1CdO4WR1xcuatfGu9nJQgfl48Dp8+zKhut+EALa
aKx3HeQlxmtVK8ybYmFDl12Ge5dT8kFBTwV5Eu+ZJrh0S9lTzPml70Y2MgrNtIR5FoF9g8GFUJAC
mfj9dyYE9/Z6WUMyQCPKYVVvynVny1od8IZe7AQfOE2UfqOY5k0MNdPTR/cj7OUqkCAyQ8ApxR3i
rXAmgbzI+JpxbbeLCguO6xaAjBlt9aMFonXndIMOhpmHRvkO7DGiCB6y2T/ev++335pWJketSVfb
he/EqfH7buxFqoBB57YnlMBRqCAoUFvIv190a9UuM9meiTGmPpf25x9emNjk/lU6iXTdz7bnIAoU
tt02DyPYPB5EeQfHCyau7z/fVoyff5atsmCAyMMRcF4/H5YiiKo0eR4mi12GdtvIa4bOz+9fxDHe
xnUaw5RcsIPxPnPeuNQXLY5zGR7rlchfIBuDS7I6yKkAsjoGV2xyV8EzNiIHC0ptldfIHrxosbE+
1JhsmOWQcO4srqdt4/miNxXG77F6yDsWucwmgYqNknp66TwqFlMxOul3gjHxVQqs08d1ESN2LYcy
qk8M9iF3B05lhupMfDO1WXhp4yoBbHE8TxNTQ32LW8tg0rI9+HmjcRwYLiB/6Qs4eKoBAUCmE34g
M7Z9CZVrl7i1sReIRsxME3ainkB59tlzsabPZqY/QKOPriPGvjtDz15agelBh/YgU4fyoMwuYusM
VPZ5lb60MerQKG2DLtURP0ArhwWnsb7LuBPeWOfP1sgaNGT8mYICUF3uPjLgYAX2kvvWH8rUVQ5T
MuJXIPonrWS3Q+fAABsrnb/q2UQZXAEciqWg8KTBxXI3M74zRiUsCxvx9yl97tCZ8ZFAY6QHbN9L
hfmtbDdLPfTXPtJoIXlIVw7i1UJtPs9etISHHmP0SYqC+437/iNF9i9LcnpOOnMbxAY8JJ3AVjOX
DyQHiJ8BH/GKVnmy1brDCxgWBbZVjs9MKvIGo0sg8K1liCrCM+lvuTMbK4WDxAmcY+cEA7M4mnn9
KdPcx2aTumqGtvdl5MAuQdeSgwVFn1zn05Rdi7syijtFPXwgwQgju3xu1a696gZ6RIpNceLOfM1i
IVi2TWZ5Tm7tmyZ/QZFa7KxmvGn68WYt5AuiNG44o1kDUpYH7aYCAXD9NtJZgejYO9C57DuJsrSn
NZwBUjekL4YGHEnNOkcJSgmWivxKalxqGeWLEgNPsfiyaPm+mFq1IWwb88soAeJAkMGIwgCoSP/p
pUK6Cy460ZppBsZkSXWcbXRHE8lJjavaM6Cl/MMAz9WzRsX51CG+tWbJM2Zh1QHjSVAujGPVPucZ
SU+PVoalxenDkBncdRbYFkTumExsa3eZWDYqDha7LoJOWCfpsxORM5qx/qA7uRv2S/7sqIARJStc
69kap4Xbrtx3VM57ezZKMPeIDSCrDQl1gd+vyr+3QMEKY3jx0PVt55sjyaeBXvRtiYogKvFbtrGB
7KsClwYnYQXpGp8fn3p3V8Oj2QmU+4/IaSsBVp+pVzssWnQ3nk83zu2SxQzlus9o9IVIm7Y3why6
vxAkc/dDrxKv65mtZif1beW6TQBqQHg24iQBiIUrzaK2BkWqIINAazmbRxy6GFxl8PX2c4+4cUEA
U7otYNkmP8NzsHRpHm0fuFDNB5E3TxX6Rjtrzl4ai7tGXOT5FC4GW770QPxxmiMSlBlCv1kHer3P
OUFAHme7Vuu73TDxEikGyIdW8imyZBurZu1AwyY7AtzAdR1MAGQYjB+ttX4yRXU8nU6uyipWY94A
A7roWljZC9ji6B6iLt2GTnqpRY+67cp6b87CJ57+LHOCiS5Yudg8d7uuSz+jlkXIU/i9I7EWDB0v
BPGU1s6fe/KrLZwtFJ+wwqy7U1AaTMILcPSnDNF1nMOtO1FZ66HJzQfqHdTxNLYKLIBn/CrgUujY
n+YjH/dUTSRbwmJBpQi2Y8eq7LvTEyKt87JtCVTCH7ajADjhQ19zY6dvUAv3LmXYuEOwkcnHdHTi
zNwATCybEl23SDARqLT2Sc0M7Wi22Yus4zxoUfLCX4DFeIp0Drgyz8SXtVpMIioO5jQE3ekDQKE+
mBX2b8bODCZl5acczGly2UXX/fZ1sGVPceqsjmtcqr6ZsQ/nep2vT5EYADiJGOq//pQ6nBlgkPxl
dR7tHOE3BN1LiztxcDOb+VuItjOrfqj3qL2DmUDz5g43bek7JqIHbkdEYA3z67dzRZfcVLclz9Iy
HzRoLUsil1CPNgcXxMm8bYXNK/8n3ewHWkn4b618KtzAdYawBJ68ZlkVyAV5CNOUoe6SUGxfF4HE
J/CI+s5OiPpUQWXYxPzCZqQqOMXffIuOeHOUYSk1nAuxFjg0WdcH2xmHBpK+i9Hw25kDG8he5RFg
FzMX9MO8rNakf0qHgWjnwTC18laJ8uUzxn10j6BJQFwguVJn+XxaK2iaPIM0eSnX+TFSs4UDo8Xj
fORVb6cNHh8cjD1bIGp7eTvbiKNbCpMFYwTnZvS0vUyRDkDAymYPagc5H6tN76aUt8rMlvwcx3O6
dskhrysOvKVv7oiSzU1qJMhTT0jodbALdzNWfT4KNO5eDqi5VRU641nDZK/qpmXCz9VUD2iTxhuf
fIBsjFXoftRgRfROCmDBTkg15vQFHbCnqC37/Uxl9UNx5fpJR+3+Bp0kRK7r/lNWNnFInZOi1q9p
T6g/pzvAMiUZsZ764J0iX9dXFeB9g24PZRKT9C01qMfqiuazfa8NQN2ndRGeMQFCkohkXsEqTD2Z
kCc3a3una4mxt41Zu4ZY+jwoOSxOGw2nUQLWFNPa7eWkrjdry3aqS4L9VuZVNkYhCcYV0NM7fMfM
KTm4StHcpWYu/c3TFzfmvA9Mo1C9bsCXYc5jgxwF38GkkJy8C29sFO2vbCVh60cTScymzA9qVONn
YhtXvds85S4aJy602t0Isvt21DfUF7plYa21GU1cKIkQCPllPb/M0ED2J2uJZLymDWhSmtegxL7F
eTzBdWqTQ9E4kT/NUQL8EPlKewqyePkxwHvbKVpC0MKW1aucUTIC6ukDirQFyF+mUMRVCP5GhQtt
JKBliVTHTQAEPAxbNRhjPJFV616ZMM1pCQAdxId4QUcFxsYPJU5ulam9SWmYswinz5o6XUN4dFAw
YFTgusqv2mLx2RNoRJwjRCAH5TsjHiyjGg0A2mo8xDIToFnUY6vo0i9jQqaaDR36NJpyaFIEXru5
YNdulc8q6wwRVMJSOqQv2ly5+wR+AQ1XIk1VJstnvTea7Quv3pRzAhmlFb1MmYK9k+bkXxD6MTBB
QXEAnj/vpYNlSoujkE37I15dg/DGmGO17D6UFUkw5i/rfpJkTCo1nNxlCoJcpzhuKPKoq5xzMcEB
KEofKGPlhmBv+KmtojddkjtbZ5s6NYlMqWoP+uy0qDWluCoUrNtqW6IUzKExTc/uOGCVVY4P8B6U
IHIBxirlSNDkKNjuc3TUB43uQ9hB6cd+mJ/Fp+d50JJnfIOfVGy6vNFUH7p1BuWpYn4zJd18rWkJ
8BcVeevaju+xgMHERPtGAdns1dFsbzpVtJ8HRX7NONPiHhNwsbjXMC70HegfeZtN3A38DAdZkJ7s
egunK+I4t3LgxBudvt5PpvOop/K5XoojCcZ8vyLnTxao39YteY2iuUcUpCzqRgcWrsAMOMcI1RX0
6QXMF4xtN2/C1rrDlCy5V1ut/noCIJekyYEm7avcYIXVOasBfTtsyRAUuUXxlPdM1/5LpZfI7yjp
9Fg0eFGg9kPiuTWv0nhBwlIm3uIQ1yIgrYFskvlOUXSB04i7BemCjG8cMX0wu37lYckxxTrWYQlU
tsHn9pDHWhipYGo0N3spleQl5rRvW86hrsQhUGeNnE70fqYI29Id3IBr9IzEfAdslyqPnIDiWgQZ
XJUAHLADGpMzs0Q9o9htVQuqqfPORmbRH+L2qcKA3sNgZvoQo2uHJIjKxy77MmSsHV0vdCZ3rprP
MPN6+bEZRrSiVex+YhVZVjshu6OixwCFNdn2VXlMR500ylgcP3ZcHExrLpML1vCc6Cu+XHbys01n
HEUYTdMBAZvgQoxFR5DV5C6MGrBM5be0xcumb/lcRGN5zDn1TqufehNPtCy9plh9oQnBU+XWR2dO
QwsUTYl32qGLOLmyWvm1NapMY20OQ+yOt2bDF1nkdgbGrM8BSyqvI4ciKMT1Q+vCYTZ6t/awhwFN
rWJ3mxLGaEbKoEAT3JNmf60ApiXi1jeLWNfAaLj8kjvkqwYJVqqID0i+AdcwbFhyDHd9nN3cPaud
Iw6tDCxbjIfT2evO7NPEiB7fL/zNP7UXmCKCFxFYFKobbvH39smYjfYYZ4sMlZKik+EVHK2+f2og
ZzBRLSANKZrkKfjK/ZpjmCQwM5tk/cVs/sI55VF1Uo09TKG7pRmDrSoBJhqPcozvVTHj/oyj0UHk
LXbnEwIj9TTeW4UC7t7pSYD7+POpkXmqkZgE/0z7InlB3mZkwG49aBIV8knptaPA3OvaqufiiOAz
Cd24JaU2NVCvE0NaG4kJ+HLkXtvU51SEDajnfBycn6hdtTdl17ieEW9ZYAI12KLm9c3Yia6kpl00
2/5TKwWMlAq/BNCJq591pLI8TYqYnRJGHSUHagXRdTfQkbAESVchzS/pKfDSx/dQ+d2qJJLG9z/r
H5pim/iSDXMHrWP6ua+/qo7ioJkKOYSZjf1XJ9bkgGQxp5DVbI7aWQsEa1Q9LPH0C+2qMxvKTV1+
s6UAlQpOwBD0kl5fmp2tDal0h9DBwBfvPvSpoXhoH9PJKnwkdOtvg5pFKPKsgNrN7L4ai/GTW4tw
0Wft6f3XsHXgzntnTOA0W3dsJsLqWR94EINaJ9UkQ2MLAlvDAN1gUmiENILWNGCzE13fv+Tbnj1i
IQLBFsYTqkbi/frx8cpVKTdxNYNl4wR5szhBE/NvWl49zl0L7TFRJri1LYpx8Vgc3r/6H3YzcwJu
wHX4+oyyXl+94KXqMIr6sMH/15c0dLySguLCEOgPr5UuM6N2czMneDOm4jTFQJtcAhmN1PCGtaf8
yuZvytLddW7+denz9MIVtT89GBhoFi4zbbr7Zw/WlGDDZiAPYZxm3U3U0zBPe6O9IiTQypmcx4Tj
EwVfumfCip+LOV/CcYZxiao6Kglj+nP9DyFBp4XOHJFxO4udJvDZ4gKG2aauWrPHZPatqs3l19/J
r8zI8fK5uWADcoL9vF7MpskyBt4ngDhQmL/+toNAiiEqZRc6qX3XYk3il4pZBmi6pIzrOYC10fpu
5NnnWoVzrNqf25RR95hO+KzKn70zYZZppusF0Ns57pDXgDMJDFmWOlsb0uDr20ImoV5ihMjDwh3p
0+Qkz1ZDqBnUkiMT8Yuhao4JTbK/kFtFoqTiEykJ5KlUqZ60dqYxRR63y2uBsmVVLiQZ+t2ETxUk
oOyH1R3MXp391SAF6W0ww/qDIMcZYngaRTxk0ADjILHp1NhrnHh9yWxpmzpKKGM7oeaZZyD05nX6
VlursELyCOVwNGULXg2trG1sdzrYslVtr97fjWKL9K8/2TZJNsGjWBh9WOfzXFcbZ/CMah0iAIQX
udnEnt3H4y6HnOTVNs5kcP5TWgdox/XjqJ4ek9aqZ+QNymWOTas24qRbs1Ze1+qAx4/KlGjc8maM
G9d9V8TrLS0JsE0nnlFxMZ6dgMjnz+CoQH5002IorZ6dZvQyiPMtySZJaYd3uKP49NSQcbQRXBZm
tUus4ggcpQ20DEkOJU+BgqAA8/6r3DbT+V0AvbNgsuoq6iBnq6zIEEAeAaIjEoYwxMSLEayEtByt
CxcSbyPNxmpwXHSMYMzi9/V6PTMFiRqBU2EYYYqBIgCsHgyG943dly85Wng+av8s3q27jOJ7tcMS
lZsZ3MVD3Q4Hvjp5Bor3nKJXerQL6j1JCcj7lUG11YwlxTv97WOrM5vX0eg/IIChXJjl/emjMcBz
kFaBDgKM8Gw0hculIxB/rsOkKzA7yA3sIMq5hpRP1jkDeQ/0afi51UuLpP00NMnLUjgXItYZZpLI
YAOLYJ4IzN14e0zkYujsWtPqUDWqX7q7NB6vgYvlrfCm5dLVxNu0y4b+bLsor+qaCgLq9YfTKw08
sSVq5pfAkWRdLf42llw7gWIbpo80cEmo154hh3AMuJxr9VTNlbxFpoiugBo/14623GIiuh5GCu+d
NCSVeUFljw7keJvp0wWaydtzlDs2t0GxbRHRz4EErTnbBa47dYg1J/baHVrVCtzeYFCpn2hlq/6o
5heGln9I+LnaxjuA7EvYPt9JOanDVDWiCqOMxmZT6QaF+CyOWWXMh6To6afG8J41OVx1tKdu8Bh7
OPUM6bfjriMqFTMWWggRgyK/R1OTRqiuXdNa0fYN2WyNUBHZJWW3bvZPaFrRTd96IiWqQb5g/Lzv
7S2apSb92m38YoghfZBUVF5R6ckBGQg0aeBPeSlOinkjVsjhDPVqzXJ2qEZjTWdvyTxenqG5TSjh
O6GFRp/kNNuocgPr5tz9sVXCVtpzuVllQhF905V59mpYp/t1ZRm+H5/+GDYs3QDAs9k5gdl4vfoQ
+0XE1iBsxEuf3MuCMSYiGutemAaibfQxOQMpclNXPNM2p5tt8qHLCUPuCaW2oLTa6dpe6BGdYn0h
JkajSwptwOhq0+978fU02jRqzQXzU8BJZ9x9l2R8hPef5G0C6xBfSV5BnKg4sJ3F+zY2GMG2dheW
NocxRr74QNnbljCS8SZuXTxrnLX4asAd9HV7lBfOzHPRQ6KGI8DT6mBewBohH/v6RbrOLN1pLqtQ
zZmiVaKd7zVJv9/J6YRjPGJ8QfSyAHudyKsBKVUfXw66Cgp97HT7N1OWjT+oNorvK8uUs4uJEk4Y
PhI231TEuvEufMJYN/VO8wdaG5pCnw/HzCCB0vZk1ts0wKTJntGUDNVi6/HNWzt3rdOHtpmML2pu
+rXqHtsRjwHTWk3ELIkqRey+8A9Dj1xRfxldloeYOC2htBk3vv+R/pBZAHVFNQDEMeWWaW2n2G8o
qJFZXZkhphc2DClOA4ICYq6P0jODqpRtuPY58lZyvZoRYURcmYwBZxOGBzVWKIxhVnUAONUiHsVp
/ZBv8a2xHpEawIejr7+WTPRRP2cWYavFEr5/92/jHihVMgr2vUqZel4jDb1S478aV6HiGKEWMV/c
QoVcaEeeulF5VFyIem+SZxiPxAGdogyYAwf72apKtC5CLZBKkNZ2vVvq3oaNzHF8msV0p887MBQa
iS8gOQCNDNsYcOw3WVVk2IO2aWVgAmbZZCAuBY/zg/J0c+B1dfbbhhra/v63j2ktTpYpspRhmjTI
r7TcA2pzTAH4Tvn2Vt5//X+43LbFQSrpGsXEm2NH1iY635UMJ3NbtXZxXBQSKqNj7VA7XqqInfMs
2CbGEVFAdAJkA5N8tlaTdmTa2KZJmCSJeXTR0iAWtrY/G+6eUROK75MkI0lLrICwoTQPqTlFB01T
yjsDXfm/JqNw7zM4opY+fIDWPAeN1Vs7Y0JsdGKP+nRXupvcqVGyQhoOekmZooGDVGc0Fkw3177c
dym/PB1ba5tdP6S0w9EbLLV9lXWNr1Q47sBxqw/UMEbiYVk9+QbeGJ6qJ+PVHE17OpJN0MaNAew9
1q/BcihMVOQHHIkMj7JND22h8w4xA8McT8lQB5Hxh5I6eb+OyrjJdDn+kPAXiVCetQ1tp+EO8rCQ
qO2LPMp8GwuP26gaR9qGpqAjiJUPuhYRg19Z6NcAVE1wYNLNfKtoyn1ZG+n1kLXjBNKilHTJIh1u
eeMgm8A9KHUE4135VPfGhzhJBZKNOEM5FjY3Ulm1bwNO2CGGCuaFjaafJ+q2cEjC0BGnLgSG55z1
E924aV0l55QHQeFswqdMr3NQI2WnMtkml0KxWf1QN00JdWYyUJRdjEDU2wespIFNe28xv4D9sbNb
GyW0PPmRiwwJUqCHUOgmi5bSaAT4g2Q+tEoG4WVb7hkiGDjD8LYdfVUel2oyju7267Oq/9An4tG0
QZtMswWSxBwQgWqL8iCyzrnQcDovHoD9saHYweQxBBr1bKkTOTVTb6SD1cMatsmyo0V0YfeeB8/T
JWwQhiYyw1CUz14wVZhJIyB2AAxktV8hFeaNLaRdWa+AQbDm4t0ol6qi86SAixI7YbXRYd/CxlmE
ihUHDbUE3d2mspuA4Vfr1avaMHaTGoABRnqKbnZXVatGOA3K7kJbSzvP7e1NoQicHwk8/VQ6Lq8j
5NIUObyayt7D+VaYy2cdXxs3xSzbLhiZ7lWNAnBItHuk7SBDrEjGz+9HzRMC7vcS9HQPtMgFtQyg
3w0g/nuUZtu0tmgVa4/eMwzTpekOhaG3FOJqt+7aMXWh3Kjdd0yCIoybbOOumkGdlr1wPinSXv0E
qS2vm4xsPxSr86R2glfZdGR3Sb0vZNJ+nJaluzJbm8fpE/vYNIa1aesioBKDSoBHjdjb5Pb3aEjU
iIAq+YXky9yK21fPSAJrIEaiYzxKs+0cTInzg2U0HKH7gV11nHSoMWoda9gUVuP16SFcrK7u1Sm2
j13CXzB4jDxUY1cfuc3MW0nBfJ1ehKcnUXxwkV9GvDhDVgI81xV6Pi8IJXcHZbSAkDnj6qex/oDY
mh7UbTperyti6nljYVdprij5z/bIVLtDIAZKykavDHLUxUH4VNuMvcTquIaA3kbIxtfJvJdt093N
/OS+tkYgFkn8cVFMxbOiKb9f1vrL2mY6QWi4NqeBm0WJfRc3yXiLnFv/pFTlz/eXzLlvgQPbVKMJ
D6bSphUMme/1kqldN0pX6qZ9LFt6J4PSegjoHdN4+gTnP/L0wYCv3UPpS60l8gQdLy8za+cgcVfb
KSndK8l8GdoO2ywrx+QGF0D1e7Nk2PWt7nrDb8GyCt0+JsJGeaCRNOx46VaI18mPFYGqG6o81VNx
uWGg0mHnLpDIL1rReopVfRmQi96Ps/JY0JD25dpeymzOqaa8AY2amx0LaZANfGJs/5baZGm/QIrN
zb02cnjjF6B/EzOa+BxaLIFucDDtq5w+7CcUr3SlUADiNMmNhnfcYTHS2s8SrN4K3BU+p/EG70jZ
dnLtTOSazEzZi6lmYVqx4reA43y1ZY0gn5B5Wupk3oC7brCgQDEviQaWwPg0jfoTlnjoobv2pyhJ
f1LrIF3HfArbRMU+xIA2buMyde578skgyZGCdceccrxMar+YMF6w6A2EBiO/PYNJFvrIJVEY0y/0
cN5kaVstqSEJc1Jne5MULnOaMKNk7Yy5+QLbwLnf9kqLBr8HqWm80Ma135xcmIngYU0WQbsGwc+z
BLkY6FWpQ0+EBU7lwwV3nwCWJTf1WmoeerPzHgnK7C6x+uRGYGawY7rcMLripc9jQwaPD5nHNPGv
0Y2OU2zdRohw7jVQPhi3LYj6+M3Cvh4zIK/8v5iuWnjVuqzLNuP4EBO7mbT9peqa9UFUgPk0hKh+
aVXVHQadPYDnbHnMOhX9W+x19gmQ+M/TmLcfGfhHviaS8aFGZ9UzBDgNaWi0uKy1CWKF0gYwl3vF
RPahhx9zcOVC5Fix6Cis0j62sCtuJ5Ww3NVS7rvtdpiY5lsiPn42F9ZWN3LM4M/kFJ4pbIxS8Qn5
3qCfeCewS0Wes8QlKkI7HhAz4+wkqZS92+Lq2UEO3De8yB1KUlaQ0AsiA2VDrBeygj+sFpcKRz/h
0bdT8nWk6SwrlwWWn8ilAsrJTN5fW5scTpVR+bbJhng/tL29HlNFEOmkWBTq5nmVbskSZPBamfu8
KEhAanYDsDmE87LUOeA411zYDdrbxJKyzURXR6PgZZjnnqUgDvC2RsSxsQfHpAfpAjIUR1zrmBYM
ospVTW5m10iDuLOQ8hjaQ9sRLizZ6AH+Srg+TKjuGpMdeTOVMwbRHFTqyKeGNdwCStD6sG54lNSq
2o9FR7g2y+1wN6OWkyfN782y+r5sYSQuzQjENYvO0vLv4BebAJdgwjtGbiiM69pj5XDYrZZzm4+J
3DNleGkqiLnrZL5gMIBICveuqP28X5xovaGvJQJtmGmsVO1jt7LWNYXIfzpaa0mq1Tpx8gSiTA/c
AsA9bhA6GBF2k4vFQJiwBG+qJFdvpt7o8T7YTtNCAgavyUuQtuOoLTBxhQuJvKwgfrTFsDyXK/FN
jqzztWGJy7bFx2QiZ8fsofY7WTdfUjy19rw3Pchbbqi2bXRpSs56V0FCfV2a+Z+/zVnv6TLgk2Er
VPMVyBDYnFPjzUALdst26maJwHEshabZkvOADpvIB/oZQ2xt7q6SXnVutYYB/pDzn24fOwc054db
fG35TjEZRBm5PWqLgL/BfPdhi1DKHTK5oDn6qOJc4DEVPODuEGldkRnWumBYqk2MJHKvRJHy7nLM
gfLV+mwt9o8CvK6HA7a4YneORzg1Okbj7JrYXJwQV1VSlpQ0+rTdXYvXB9KUKyicAjVucl5S8P4T
V+8p2vkcp931P83o/N+kiUXWvGWT/70m1oefKZpYv3M3//mRv5mbjv1vNKs2Mhc9ow1ewAE2/er6
//t/HO3fFFoQr4hEjDxObfR/mJtC/NskOAHFpu+jAW8jaPxjUaXZ/3aQ/9nQCkQUaor/SA4LbvXr
zNmw0OKCGbmVvHSBIcm/DsApWYBjVFjfoMzbKF4FJhpe9ayot4ndJgENVUaitRaxhc2kCECTRUfN
KvM9+gHNjcwyLYhmtQCOqacu/gl1PACk723cmSH3t6HAPfF21lKUnd0K/TkoHI6GgPPUXmPN1jyt
YD7Zc1V+hYskMEuZtYehAAA2wmM5NE1cfvh/3J1nb+xWmq1/EQ3mcDGYD2TlUkmlHL4Q0pG8mTdz
+vXzUD7TljVtGw0MLm5foNFwOgpVxR3Wu9azYlSa1qfYrfdWjHM7cAEpVn1fTial2bpZ18VedzPz
iCk25EkszWYdUvV7Ghg/VuD0SPFDHhqVjxAzae67g+a90YruBqo6uCfMHPFBdp4aYVTEec1YwH5s
UHsXBiB1H/hhHVCddVwzM9Dpn1n19M4/JG32PMxqfEK2uAtrUKeWyPu9ldj1K/270dHUq+gGI7F9
izk+O6lxom/HXmkoEaCVMJ6KaN9z5cXXqe5bpc42Qhbz2uOlW2siQc2p6hAfejTc1AUoZ8qwT64c
s6Mu2hjGDShm/GZ+R/D2htLjZF9oZbZGL5hexlnaFxQpqvgbVaXI2BxS8JU0MhqHVMYAvRvVQDAl
phJhbGd9OTKNjkufF42JW5ZpWuWX4wARIicXcq+JWT3bE51iHCkzb7/09Da4SBeEvUEYioy93rxK
Jxqq/cCh/mgLode+CmvtSrq5BF5UuT18xxo663FYYq9BilK4ZGTMjoW8FN6ZI4duBHbrmO6mmGAY
NmOTBBC8c4iIoVvFK0JCkBXhtwBtoJbnUniNfhn3SvKi9J2+CZsBCzle1OVX6rMbcjLufUndxtpq
3fEibfL+qtWcjLfS65cy1NG1WmyYdX/rajLiaE+L1iOZA/tBYhHmqDfU2jUhCfuK0UlPt3Udyl1n
ORlymznAcOv66bFVIQtiWkqumziiG0OJBPtqPNE7O/Ar9Zsuo6nQgh0UBoVtxzeR07k7FCx1Z6di
3NC5kGdBmC4h+9KRp0zPWugNt1QcwJ4besiR0YMcYJbKdOovu5bXWGuc5Hl0qu5sSYpXLTOqfLcu
rtpRuzSmSWN0O86MpjIDcVzhJQPxGtRUopzYS4x8m1kW5/NuGqPtUNfx4E+f8mnJ9Wped15Sz4FC
oIushjp80Ez53FKYcZFURnEaaP3eC/bbxE9mB79hk5sXknqJQzE3zLIY34ZXSdMoQNP6sDh2MSVI
3Ha0mHIwNXZIkWXNg5bWUUtVQ+aAQiVNMepmka+0ugR24rjSPlpl2I37wdWbbo+J3Y7Xam+404up
8ibdNvBF4ZcW8p16TWkL3LC2XV5Q3zl5YNOrLtYesU6P4z5KHEuj16znOsTEMFV/0NsReheFrOh1
siYj5q1AnPSHzqE8N1b48oGq9dN9BDxwZXVt/qjpo5kfqLutthj9OZ/MrdUlm7hjmfZZotV07Vhd
9hjH47AlVwnRn8X+oau84UIz2uZSwUB4n9W4ZAKBCMcNMBvVd8cBitaMYXaqdZlusFeFm75NQnqz
p9m4ktrIWacJteeshivh1K21G3mKWGFLsXGTtrwbYl2j8E+dLWrrGP/Kd9G38nrmhvqRKM20Sx0Q
FfUw9utCV/nCWhhrgpqo2VwaOxG+7jC4mW5gOg3OzjaS7ngzNZXTr52mGe0NWd7Z3IvE0FZtUUP+
iBMsqLtQHwHp5B3MrVOR4yrY55CS8zXZiKHzCdnPd0ln6jnhCyoOyWDZZrRqSDHbW90qBE5YzMKn
0ZJEcxwKXkot6gtwGsgJehnK7eTJOVA5VGJJFVdZk2cXKDP0hJkjrhvFFDN5FT6A+dCUB2onZpJN
nj1sp3HMTygWw72FUH7RSg/OKEF/nHs1vw5NADwSROsovVo5XWVga6bQG4cEtbUB1SjO0oxeDDkD
p3z6oVLKPvl9OnlvdKZpuV8m8YBVy4lmzLWVSl7PdhZcM3MmesQB35uTn1JZdtOAPcAlTB9edAxt
I6JLpcOXyw4mi/jKkSTHhpw2uH0yl+Z+KHVzYHovhx1OFp6CRsmPcsri3UAeBVIZdTbIwSyT6hC1
NyRC2k2T1cs9br4xe+wg1MmE3S0hFxNDNAkyFcJZ7cCChpHP3GdO7ddaTGqG1Draj3VnEeo07TIR
u7Sd+2jdVeQtyaeq3O5UmbSBOg3Th9A89d7S2uG29QROOdlP7S2jIO9Y8Qyj2+jmjdZU5iMzyfzI
gm0eGtohfCupcZMM02n2MpM+ZptGQNdKL5B98M3ywPqNls3vSCMM8Dtj6cCmpNEGRBDljRLkvJXC
r6q8njZNPSjF1sxM41cOTkg+JT3P07Uh1Ojeiox++eqqe0yJA4ptbEjjPhkT1jsoYm154O4CNKbO
q/ZKcbqMEpFe9x5LYiE7rUhM2vpMFQqYpWh9COwnpL3djjiv+fCs6WZo0oY3OjaTJL/C7EDmxu2b
7Hnpx7mqE6WdfGCQdh/U/VRwhsDnvFKdrHuu8iK/6vRZWUk8UCBxhdXcNrOpvLrQUsmF4S6J150Q
LDRqvhChM72qArwu+RW/dXUIlyjJzi7VYSRn0zUfTRapxgoosXBpeOE6vZMTfjFgBxjMAxfkWBNE
Kvr6yp41pYF3ng8nZ1TLOaDFxGacamnlu8ZgNqX5o5eHhnFdyaWy+oETJ9sRHnN+dGaP4dsdSZKS
IlCsJmBnmtcl9TpLq48qni1YZReWilSCwDcXvjo1yQnd4N4dYNlArKcxeM0NGEJA3STrBJs85um8
eAckiYo3hPXTXEiSRVXKe953dnc5ptxJIOvnrR9KQkt5lxA4yzBhTJsi7aozaeCZRz5sQTbhgI/I
1FRV9xx3KeqXoKNU4+KjD08TxrwMDoSWiDXDWXFUTFfcd6MdfXRUZfNI91Cf17KTM1flueCjB8ay
Ws1tXVasyl0D+LoxbRgTWOJWoZ7kjFO78KGv0BYrnOzb2m51v1xiZwqc6vU8RXC0vV2qpgyb6yQp
NuYE2JWOI7ulwBzWJHKR9Adq3tdq47AEUh/dPA4xQQlT0IHOvs96kvKpPAiiyXAysvJC9mK4q0KE
pqwNc+bi5vjsVXaWBU2tVm+C9mIsdFFk/BhzGQxhvw5TOT8DqP3o45BQC/ZBYgF6r/nuZC8Jtcm1
SEFJG+NMCAeLi3UEW3uK6E1XSHM80dQ8qo8E5nAWzqNhnREG3f0cE9xbG3VGuZpoSYf4g9fpFQtt
QRRFWMBHZxaIFZC8jr5uN1LwtUuv3NVsF0HLHrAfabe5kV48PITtWPkWxrKBOCCnTCUqjr3uRIpf
tUk07ZQmd7FTFoWR+4XuDXcUlAB3JZgtGQ2m+Rsz2vpJB+tkrfI+VT5qUyHUwrCer03o55oVSAWg
ohplxYdANme1HLwLhEoEAtzu3pmqmPoWzXsxt9spLVjDVFQvNu4CUPVlQmqcA9r07GIK/dEJh6cD
21zlHXnwOBjGRSRfuUw3dxZy8AV4UP2cj1pzzwQpLdcG6WE2O2FP7LNisoI+Vkgd6XLc8ekZIrj4
avdutgTndnKOvSMYMIpbVWJwC2d4cElET0bRrwg9Kng/dfKDWU4Vk9I44gl8hA1heygqP0P3JoKD
VRoDZqFor3SydQfNHsRp0POlLNNdjmDUr3IeyGfE8kw1QngcjGfggE/NxRRCLvarfioVf9ZDeCpR
YeYfLBLJazIMzilz1cSAAVYREkwKlXJXNx6DvtUignmUpaFYhvKhsZP+yMNqBnE8KMhoGKk0murI
bqWmH1ndsGZVpZvGoWODZJIXmrQ1JEYUiHkS9wlJ4nfhkWv168hO38bOSi6Q/UiFOwRbcbg2tfZm
dOg5o0q7Uoy7bFPS6RIMZlGCVxyPdUhcrJrTZO0ZUXZlJHNxlo6dkNJSKLP0mmzpupMJ7TYNQhiL
5KuHt9iXbme9xFhQ38aM4ZxfupM4TR6WyVKXBWTGTNx2uZY+6WGu3saD4P7nsIdcEoUJh60O9qAN
QAy1KTZXS9U3rWoVAWURpMF5LNYjBiqC9ES5KBMOiuJ2MmayoxG/9zVgajeQ5Gf6VYeQfZxEkeUY
NtrsoYlwkI0zh4sV8b45Cuqiid5to+SwSLh/XVlOvi1qYxYbi2YP+tC97mxrYURJ06DceVaf3bJe
VBfC4NfgZAS/s0+Z47YDG+40T/2dPigHmzc05Pr17CSstuiO4raS898MHL9JrOgY7K+cfXG7o+x6
5je/d2lZg5PllKdUbonfllFL74/SVo71ZKQzVIjw7+ZV30bLfMcFfY0RxcP95djfRWTX4K00ynbe
phR8XpfD3F6a0dKhUWjOIQYuu9WWHpYvKs/5t+HiV6DTMq/+MnL8/DUZN+LXBKOPu3dxj3yZEOmx
JufQScftEInsgnNNewaOB8ZQTaK7cq4pZZ4me99Q9vTxf1dl+zH+nx8Sv3EsovY//43oaghhTCSX
YeSfq3Grf8DViKh+FeV+/8M/MfX6L8RN+KdMqrB8fKpvv+lyjvoLvheb+52GsEQQCsXuv3U59Rf+
DVYRG217iTPws/zU5XSq4xk/gxbDPwJUzTD/FUz9Z+Dl66eLUb0BthpTBv1GLCSLbPfl00W0s2Kt
00zM6fGvnWNfOrW1LW3vLglZE1RUt2zC+9QrIZ0eOiwb+9mpBdfPl4g2IJyn4hhG80Pa2VscqxsN
qEVygUUTyoDF1CBbi7A/kWx7qHRjm7ZiU87WNpnrnVoGMgrXZlYetTqwO3djD/xZ0gYZypxZZfvU
Nq7t2rq0bGM7VOa1GWr4nfwlvjKKaDOVHp7H6tZVytt5JDBlG3CrZJDmKo3rb3N2Oy0KCQUf1nLF
5O7jlO6+E/mFVpqXhTk+lAaemLY4k2BZlxP8KCLzCQyWSQ/voO26Kzc07xpb7GoA+nnIrYdoZu43
Vr2bw6Hnup9dt8LZGSUCUmz1L23tkfernxKTl0yoJlwDe0/H4ppgzg+lNVZVmV+YEAS+fPL+yQrx
3c2++C0MHKmMt/gw8alZZpdf3kT43Dq3KpooAN+uGDN9etbEUF1Z03Tl1JjyoigN0tlZK0RDe96Z
v/4Bvk+xka4XkKMN5wnbBnPSb7Mn4EOupI4kXBMUJsEWX7hdvaFZUfPp0rPWaaRfmWFqb2mpOSfV
/NAXsXEB2FfZ09ZGdYb/MRltvZnt2ibRb3CzorZ2Hcr5YsyQaas0pd9JKHsV3SYnY4D9IctX22KY
QNTUmMEJ76wHLPQE+Ok5laG1Cz3jWI3EPSKob2vO3T+mIZz8AcGqU+Pt3DBG4tl7NCr9GFKu5Cbd
saii6iApOTr+6wvpn84i/rBK/ul/9f9gi4dO78ZfrpHn7h2c7UddT18XyJ9/7OfUAqokFe7LfIJJ
ERYQdr+fq6P1CzjpBdz72yq3/Jv/5k1ClTRJ8Xlk6PAZMdL9x+qosabqLqEKA74cJmkWzv/8D15h
8SF/PkjNt7//uvUuQ+GviyM+HwebmsrJnU81Cscfnyur9Ca1KzuGka71HFIv27jcpITonCAbkJKg
2NA16TkXZWH8+OtH6n8cbr5962+PtJ5oTopvCnOFSdOqiJqUeuR5V6bh21Bp7t9Mx7/bpc0FJY2t
AGEAa76p68sh5MsKkoQ9I1qTttc+of9XVID0PDT01ejq6WZqyidGjMmWdxqHUda5a8/pnSAtVWvV
290TVqPKN2fxkOTpeWqdk5WMeHcyC4JB+FhVIYaDqo2JryVHje7Fv1v//smPT/bJdUmVsiPygfo2
3dfrvHHsvjLXVtoSRjcMKuclsw5uIOZy/ZytYOBcv5oZI5y9Lolv8cRd6SNcq0+ChNpVT+mMwJu4
6jNGoYvIMLeopW/C6S2f6sF9yw3S/0xRfMIGiqXXSAxYsGQE0h/z5V5UunqnFKpZUz1c76SSraZe
+M58PUmV1qd43VvRjWklOzENbw3I3nSI1n2XA8fq20DE6TUVcTdlNsG/f5+WujnszS9jPM5bZ6Kk
DXnBOUlANYmvlenec7tur0c2KIlmKZJ3+WXGwngwa83Y6pku7uxUvS7Im3EU5jsbVZ9d0Os1vSY5
gAjpJYizUct9Iskw5lYFtxaIyfWCKImvpprAvZkN1U51Ui4DDqqVpYTewaT97sJ1OWCbXtKchz40
KUZqikNLg9ULDm4HA0Asr1yLG03nLWM6xhEvKLneGv6K/lZa2FZKQFaHXjsOejRcAm4Rka+6IFoS
I5Uby9bnQ9HxLVQbv0qPDVkpnPI9jpP3WEh7P6BXgkephg2OqmuQajUzuugQptkz/VSHyvTuRW9z
yeOtsZqp3mkNf6BMQrTOHCsxt4bqhE61Jp9252S833/98H5HRQLUZBDL6sFfcGvG3/3Hx8kTUqvK
dtLWXZbRrxYDWiLaX7XswoUrSgRdy7iLY328mKNOeYlCaxmEuWBnwrhiMugY9yMshXmZbAxd536M
hTvdGqmabRsrbALba9SbyJDpY1N1HRpcqP76r29ZdzLnf//xh63nc/X8/VT/p/vVH3a1f6OzPysI
n1EO4zqnbFXXuXh9ee//B2X54vX9NY2+bm//9Av8vAp4bHbkodmWLIsA3pcWUusXCJ2UkNoWuh/X
8983O4N9kPooNqGlXYFMwu9XAUP/ZbkXMrjnPgBsnmPZt83trzY7Avh/2O7+0UJqfju9mRl9DVra
ogYNTr7pNK7BflICXaDRIuczaXjFfHSUwt12Rt0c1JZGX6m7Uef3dptcDuWstD4fUIuQQBfPu2Gu
+pUWJVVQTameBWnTQb3A88ZlIim8dW+W0bFHkaWWgtPcrjVE8mJY4XgViih/t+ayvUYW0ZjEgBlD
S0mTKVqNSQgXS+uG8KVyOp6XMMvlxuvBNvi9yVhl4yGGPw5VLzQ/JXeMQW2wRbNpwJflCxE2uiRE
RxChdufBdwAh3lp2Ly7H0rFEkGuJdcQJr12Hrdqe9Z4A092gNDK9FaaHzNkyMR1XnjwZ9GvwdySz
V6rNwMQPe/NKh2WxcqbZunKl0wB9LdyNp0ngEl5VG8kGr176lhcteWAtMsjyNcDzjhhQ7YsC6z+X
nyI7aEq8TK9lWF2N5C1L9Clp3DIDSO/5OcIZEFzRVQFTAlrFTey7YqWbjd0FY5lH9wWbz1FoSpVu
dXg5HFTwJzNxaN3IvMq03jyN7I5rFMs4B+lUxhHdx0InFCJN0hqWJdXHhGaNKSDENjAZY9i2aetq
fDLHJDr1jTurQUrt1ewzKq07fOWq2+68XlkQ+FU0PKvhSEVnPdBhemkUyrzt6YIMQqym91FTFZcM
7gBxp245NZvcDcs3jClRv82yrB02tC4mB6NvFETTsbOxmkrFuDEVfdrKXhP35ey2DykR+SwoRG7e
5brHkYLGzyUeUWTjWsmliH36u/j/Wda88Xj1LwlNKCdPVeRHGLV6Q/W5a1ursVRM6ruKUbPbFQOh
sAvUrADNNVmZPT6klKhbR0W3KxWWfk4TeN6X2jZuFeXQpqX20lAYiveK1A4BeSqoSD0B096lMYnK
rcxjGyiRNuSEAtX5qWcEirF9HCjs8Njx7mgFr06ZFun7IlXQsruwyonjKakkrIIkbZ96LAfYab14
OtgIiC7jiM4iiTfL6r1tmFmvFMWcCqKGQwX/LG2Kc5bGxQtRIBwHMfjkX12PiQCF2o3trUmdUOKJ
autOV9Vih7kohsTSGQUI/XF2KED9RBnWDqZ2lEfX3kyfXanw1vS1F5EudT+7VO3PWtWh0m/Uz65V
sFX0rtafHaxjufSxhiJTfs3w72+cuqv33uygSs59JTcKVE3msAbnI3MpeW0/+16rpfrV+GyBTXoI
h2G/0LRKfTxLNStRNj+7Y9XPHtm2JhiN+Bidwyw198ZSOJt+ds+Sw3Nwgfc6eMLaGFwY3nxJBODP
3lptqbAt+VQ2q8oLs19lFus3tZGh7GZMVVZZWHUrJcHW63Sjvq5xJbEmgRO1Q4PW3JCuQelPAiKY
KKD7djMMzvCza9daanejpYA3/eziHZdaXnA8FPR+dvVCUeBqibSi3BFy4qu4EcW+4rPjV2eh1bft
Uv0L/LP+MX32Ac+mhilfHUrhGzoSvhvKgrCDmkLqIHG3VZWmC/oKjy1MF1xONRkJW6daGBqnM+9N
gG+0N2DtgXvf+x1FMLi1W/PAKIF6irjlQpF6BeEjgJUrq8WkAn5nDn0PS1+QOIK6tCTtbqTZoRrk
RoYzN6yyiideja8ddc7WWulFlI1CNDiquW7RlpGGa90O30bb9bYqMijjr7ZZ0/ggXjiZt2+Tqlrw
FmMwgGLS0xfRSOdazFozMvbMk8PAWXk7KyBwJ+ZVd+MYnqeo1Z41agavrbj2OKQvCcTQtsYDh6Rh
Z5aZoHi3THnd7fjgRpkXoTbF1lamqv5YwcmsaISVIBWxWhibSFWxZhH5K3O/FUn/w0tj9c3qB28X
K41Ypx6JmRNL8IJCMZJVB3MKci20zxYq+ZztJTgt6mvzWN5JMhubLJH22bZH89acpbF37EY5y8Yy
1gNe5skXCQWAlVKKwY9dEB/EkehCYbh7R7lw+BxxwGWgSkJ85Xo05WKQ6hkjZIWaXxb4lQ5GGNnn
Ht2OGwzPbOzjq0tPlmJ0uwj3z2UMGY0ZbZEkV3VWiWllqSQDmP44+zAXwH3DLmlvJz2L77us68+e
IixQIaF21sDsfVQUC25qLwmZqOkT4zFlMLVHvZUtq1Ka7BmIJScS0C0Iv94zwVW7BjJoR0dP5+bJ
npUyWnX0MdNcWeWkzpRxr5d0IoZM4o9Kxi/LBkweLVSKquAVl/bayozusa5U+qDpWMw2CxxoFUPz
vQ31zL1rOQeDbe9KDF/UyEAvToGfRYY+niQNDosXdUC7Mp2ouNPYq7Fn9bCRTP1Xx6mhSE1iSlOm
Lml9N3ZKS53i6DxYlBe7+4nAPBOq0RwerMySHzXHP3Yholj0aMKiD7petu+pOU6/yWL/2y7Vf6PT
MTI2YoiDDvJXyvh7/fpb7ciroHRk99p/ZPHXI/LvX+Xnudj4hdP27zr4FxFoEc+X1k+D06+7KDv/
EIEWHRxT6kLPQCj8LOv8XSFXl2oZNCWylrrKiflfOBZ/F2IWaRMgBJxlfhImTt+mTEnS6iMdVuF6
AFmZcGfGZLTRGh0mu7n98jr9Mx33jwfwZQaAnqVhyl/iULQ0ffteIldKOElNCC5ebuDO3Ux5taN7
blMQJKBf+Rk8c9AOj56xUZz5SuQcyCLjKRO6r8fjceQMbBf67m9+quWy+gcVbPmpCE4gDvEXTCT+
eJllp8PglFfhuoymdZtW+8weoLXqzkYTNZBNZthKHiDdblyQqZ7oV1NogjDmnmu1xE3K67/+gfTP
1/zbT+TqBjKfwdSCQci3nwivaKmAig7XzdxFWz3BO1ZY5g1O5vBqjCIIsJaSXZVZD9R2tGfYGyCN
EIFoO0l7cz9HxYtSFxYnfS07Gp0bHk0z3pdOsSnHrqYgbHhxxh8ZBUw9DU62LE5278fp4I/44qbC
AmcjfA9imoEUTVrBp2E9YMC5qiIrINN8UimR9cpkU5rFKsnMEzXsmy6KD7ZyM+jyZsZxoQNkNStM
lS4CFWWRQwdQW8WiYYfbDg2gsfVdzCZU1U9TruyVCCNE/6YURxuPkW8OxqGc/Ew3d6n30Hf9Y99x
RKgnsCDl6OzNlsqzDoZuz4aGuYGpRt4g87QC294hdpLLzLUCjLuBa03AGMODFQGfNzkIhNnFZJG/
64sDt8/N2BiLgZT5cd5uqsSdNsqQ47x2VgTnyfwMSxL71Ef2hhjH6Ay0iPA9swFHT78xKsm45JGD
wSHJLUxB6V5DFWRP8rW43wgAtokliaIMgcgaXh6+jWeuymq4kbV1zfvpJ4qx61obz8jQrxwLlFBS
r7QKZPGVTm1uMbd+HLsBEERfVb1DafJk9u6assZAiW/TQe6U+nIqnY3tRa89YD3TfKOx/qVpfhTQ
5oSLk0N4Vw0pQG86x3Wxc0GW566zifMxEDi5Lyn7KW/jNnwRTq6cpop3ziHarpTJcMNGLBHv+Gjp
beidw9yUP4RR0YuLfTJfrg0J7aZF9tHgw77WZ4HBw4gdG6LD8tBgluRYFO2dwbx1tE6/t3GcM8sV
3TMCM3wwwxNb/BIebROZKh7yMi2oDzBCPJbFXPlwrjFSh1aX3+Jl6jYaB+FVW88KpP1hcUyXnMpf
LfrLdnSMdoBxuR6fop4RjdEZV1bd2Nf13Ds3rZ5Xm8/n9H97+/v/TkLic79AwP58hzx3RfL69nVH
/PlHfm6H9i+4DJh9LJviUtDDlvRzJmL8gshNuIMC328TY7QgS6NvHCzX9+3QY5DCAHrZKPEs2Kr+
r2yHBEa+bQcIUTZjZwgGIHgY3XxbfIUQqR0XyAZd1ze7Gg7SaxHbJU+SEZ6NTGmOQ6VOq0wx5bHo
3cjHSCL29egmR08lK9nhT35wi8l692qAp5XpKIz7VBOvfcLhMS0iSmhJFuFjDg9mzrldjPOr3Zln
mcQro9Mnignyo6Jk5goh2PEdSQIWNjyWdCw4uAsfdGm+h2ZH9NTKD2lTVls9z+hXxkI9bqqS8Q2l
DjEuY0e7z6wYyldFI+oBE3JxKsHQX+HnyH90Kbo9QUf7bYqxSvH9hismQmRqTUUg19qmeNChLwe1
0uNynGjmA2yZvvCcZbB1+K4UTgiOx/jT3nvV6PdYp8UjN/RhrxQSucjW+lVV5OQyU/macuc5JNqU
YyVyxysYye5WRtYI6LbBpO2nYFbOUTaOOyW1i6MUQ8f5oLHGgD0/8qM20e8n7MMCYeo2Tgxx2UQm
sRVqy7dcQ89Y3/v7lm3zo8piWPn2YF7nBFN8CYPmHLvoCGMty3Vuh/EtMAF97+nTQ+L01TmyYg31
ubJgFYbdsc3D+KKP3OJhIJKDWV2FmdZwdeSjEdRVlbwOVRlfRpHL7lDFNLv7cnD6WwYG+aVTRh8h
rS1E4VMGap1dPdkx2W7kjPIHjV6/TsnkchP3xsdIL3dpZB24eKTruNS0695N1TXB5fScOIP3ZNpj
eaFNpXk08trY0wSbveO97/0mrXHKNQm1Y1NhKJfFXGJYI+pk/SitDkieK/J9M+JbgiowHHLVDC+H
rKh2DAM4KYAVWiBA+qmanA/ouJr+ZCR8Z3Ra7xbbtDxkFjAcigkczgJJV65nMS0ikVIWs8+bkJ+F
LdNLL5rB6CvzdK/PmXbF9bIOhCmrR62Zp8tsgcsLtVcvJh3BVGDKDQBGDatO4w3Cx6Z7p3xYqPSR
LJudGoUGl66+9TPF/pXWYPey7Zx2XemVt7FbghsRhrV9y9nuEuvUvaB+bOWBWN7Q+O1uGIM4dx4u
UAJYefZqRwoduU1M5ZRlKyHWbky1SY3FtJqnaTMXihKMUycDZVIrfOVSXZszYWURTxWxYDnt9Kpz
qNyCpZnPzlUx1tvcKEpiFXN5CnFOrKzEJVMPp2Qay+0M1RExGQNrSG0MyhXnoDcrmrbYQuOjsLjO
lp2aXuMcj7FfN/U2xSpraqm5sbXF0B/GBSWxqvucUlfGvq3CWNdiDgp2UT6bNk2As1hbc3PRFM6P
pC/s80wB6a5UanNDJCVk8Vm+Yl67BvnwIYPPcTM05o2rxTisMw5IzCmnW+HFrW8MHGQx55PPjPN3
w5KXNW1Ba4y5RaB1HOKkXXaPgHNJDMEw29apreK3x9Eup0I7ElhqD7IxzHXXls5HSx3wxpa2ccJI
zcPEJHYd4lW8heLKqzqatB5M3kgWuq8CaVHPzOe4WMPaY9iMdX98FFTV7Q0nidYUeDQbZrnyMDpg
5Jy0b7a9TKZ9Kq1R+BqjwH0zixn6HFYLV4DewmWKhmMIx5/Cib6Gmnd7Sq2I1G7hYeCJYOR7VbZW
Qoc+qKlj8NlZ7lIBb7yV9AtX/NdyusDCqwEpb8eDmsrwEVvoHPQyLS9ab+gPajUWB7D0ZJtpw3gb
rKI9MuxTgZGn6g0POX2/RPNCyJ5LC9KoD8a9HUtHD+jhKddpMaK9hmbkXjawVNx1FLvGJumxhI+h
Ld5HL783hqrCphNvlUzj5AtDhSyDAxCwsJ76QrnumgG+OL95SPi0j4vFMG8Jnx7s5KnmqkRQgrt+
MrXtRkrqzWnwwi+SkPfHfhzRHON1PP8ttlqsIfG2LSz13GBgSlXO2+D9aWkP8fww7e8Sqws6A8Mo
9UjHZEYjI3h5W8z9eLQkezfRaLO9jRQ7XtIr75RBpDs6eLRVuJihivg6MWxzlSbKuJndvg7iRjU3
La3hW9TAcmtYrOBEdWfmI+BqEFP7D6IR1/BR7hO7bJl38AUCLS2npzJh2QCCmifWDmiIGZAACAMV
fbXJwnrbLuiVWQ2nl5gh8I1qZ/2Rrx5kbr8Le/Hcpqz6WXzHSf9Sz8VaKhzF80zkayzCqm9loRKA
NY0odVCTAzBIc+8kdkWOzDAfrdwznhsjoc22ctM9u8SOrHF5iwRcb6eqC2m06fuBTGRUlE8jFQjH
CmH9ysmn8igVp/0g36YAuR6XbRCVi4g+JCouofSvNN5NY8ck+oCL2WoHSrW/DJP82A3JfKnlgkl4
RGUgT0qARNoOzFli0IthwqI6aupBIdLpD0ZzQXAwyJmm+jqaItR+YyszrAzE9/22SoyS9uI8XWlz
u69zbnijW/4Xe2eyKzeSZdtfeag5A+yMzeBN3Ol9d/tuQlxJV+x7Y2P8+louRWVKyigFEqjJe6hJ
IhGRN91JJ83snLP32ridvQhvX/phdMoX1NRYNPAdmO29harqWHsf7mSNXxNXhedmyrzFGArzIGTr
lZthhBETVNUo32e2IZJDdC+o0ULdGBmZ8Qvl4FsPoJzMQEU8+ZDBmaFYVBnE3zFPGohXOhI02AQn
eNExPdqiFYvEVPoTS0+KhCycNgxTSCIz1bjRTTTls4dYrR8BGygjdoDpxNOu8NRcbJxIhXFgxd1D
TZtv6hrv4mmiBw3saU+KfDI4ExxRIr3+yOtpeqgLNyejzAVwY+fs3pZV+Lf4dp8gzdxU5VCsSsZo
tKvXKPbqBd3rF0jEjy0KgIVVZkwohF+tSx8lCduefyrDAuEDniD3JRVdTiaWuYtE9jmNEcdV0RYZ
1kEm7naUOOJHlIgRiN+CwimzqmIVDSwYWDwqisS1oTfbSvQ3StPvMj3+zIb2NLbDl07Ym2YaxbmO
omYd0TBYOilcSEH2FPsup7AwpqHigFl3ZnWqO5uAFNyEgaXs5hyKeJ3jOInJXHE70gXs/oxyb164
FKEGyngYUin0lgeWX++o5q5PIBEjteMIX+4Mg1OnHZ/1KksO2tRpINRGa9sgUbvlFKfuq5RIABvF
3Y1BqpMo0i92xAG2mOz+0PNDL5u8PzlpV+2JQ9OolUW+EJ3ZBXpt+XtyXGQAom7aWkwPSMXU3lPl
1FtF3OER4TdbdNg4K5yF9Ik7ZwqqGYBcN9Ln5fjd7DEqmlsGKNG+CdNDoU3Na5/SFx1C1j9zoJO8
APXBLBSv9F2LjPrik9+zGdPq3csJbxB+WzO3LcLF5F6FjIlado18gazw3gyVCBJT2gt6VBtSLNI9
cxLtWSSF91IWSDmTJtYeS7sNCucqAhEKn2nOrfsgegoPX2I4t+CcouWE/B/nCF6evdNk+VY2uD3h
m23BbDrc1CI6hpFW37gem1RU5QEA9/65jmVzFInXvtLmx4hKFAVGJafRWHiQ/+PbBa4SNi3PThIu
Y1WESwba2hpbJAhRYSNyHfrwsVRxc6tHpkfrpgnvrLa2zk4S1ZAzc3oQZl4+t1FLKnYxYiIWQt2Z
GvrSIZH5l6owyFlJnPKrj2Z/M421vfQaTtAY/Owj5P8Zx7FWFu+JmcRHEhlSsTCwmh4qXSX3UcQp
DxtNkzx1es6WkUMqNfswOhtguDeRVehnw0Wz1DM+XDhx1+3CuTCQ45TRW2nPBhlhrhmMdGO+2E3v
nzWvFk8KKuAC766zcKy+e/W7JrrLcFbdV0S670diD9jyaL1w63F74DICCGLYcFi66+ZKh6JL7fVM
JhMHtq576mPUPRqTy7NL7uDSGRni2p3sDjQi3dUchh8jYCQDzSf9nzJXHN1olq6RUnmvxtTifCSR
626cwcpN0mgOBExAH8kdsWW+Kt4oWZvVDBL0o5ahGfgUgDs49dXFiZLkPBhxshW25EBul+gySV1m
14CJOJUNFg0zucm0scThxsncS3wQu5qBRwL6+dmc20uhxybgXmjqgyuLvTdnjItr099Jmq9HAVjx
KxfakNFTu4fMjZlLIoQIF2Ouvopw/iyLTDH2xA9aj16EaXgyFnxKgo+eyXyRlyHK5+g8ZBknR8M/
mbWCoeoJIlAykTwnWqqCcc5fyWqaCbFJ3VNNOmch5nTNnEctK7MbD/SAwTvK8qMZ6ZZ6hX+opK9W
YRv7Qa2a9CkGh0ggw2REQcw7R0qNQ0eSELOg71vjaHMEWzamWT5GHOBDarnhKaKfSziUfp+qKFzb
4Rpux8bIyEUFwH2bjk7gRiOLi+JIrutrLTLUWYVzs5YRiTKWmi6p3X3i8ZwW6VSk576CQyYUUYeN
bFxqbsfetDM6vkWml/VSWDyoEEnBAaXOpc/j1znWzxHr54qYUmDIjZcABEIYPtSaSXaOCrdeWuAS
tZP2dqjzJIB+0GyHzp+vILNiy06R7o0B01IzFN6lh4C46ZjoLUsRnQbXAlzPaTTaJ1NvjPRAWdpj
wqfMwKjCLsSAZD6bBEdNV8dxk5MMlFd5tKxqDS9NJrbkTmaeR98yGkZCoFMP74s2DfedSMvXIjR5
eazYCD+3dNg0QtLcCUts3EBJJi7ytmgN7W6yRSGLXWsPTMZlrEuOmWI4V0VWnlOZGm/sgO25ZhKG
h67li6cZM3zINRMecs1/6a05fDKN3l41A3XLQiaK+rQoJ7Ur4XRtnMKXG7eOHJAMU7ZX0ul3QlXi
zppse9MPZvuZcDpscU7cJ6/kuklsesWMxazmZRxYPLk1sM0ao9pJvuTWN0eskI5NgmLVSeaprf1C
LT3SOk6Ke4kH4Jy5MK9jo6xAuejtxeI3vTULky9zFV5E5vhR5ynTcYBt+1gfjIsy+G/9FGLytayB
voG4up6xi13YbY1VYZNRxukD6Y3SjlqqZwt4MhFK/DwmFLzRrvwHH51EIujxzCmvLXmd7r2bTxoQ
EHPkwF0VJ73QV+ACYGhEghVriJKtQ+7o3m+hD/myepic7L2tx9OsEm2RjskXUrpJlW7aUzG0eF/x
mNULa3ruKH483mEY6eoEjv6takptn6Rx/H0+8T/d9/x/aOxn0Tz8rQzuPgF6VPzY0fzzT/5UeXt/
+JhY6BZ+c8CA5vyvjqbn/cFI0THxwKB6u/7z/3LAeH/ge4HhaaFvE1dt+D803qb7B1YHSn18X/RI
r5rxf2O+Z/ws8nZI7WJ4LqASU5jpHpScX8ZbVqyXY2maW3uItf3cEpAXVcnJDs16706ju4ibuQ7s
uKsYAUbTY3IN9SbBDZ+9LuPA8DsL4OLgcabtqPCo+O/KAqhEpdXyhPwj/hut9rW/+s/h179+X27M
j1JtoSlHJp4y4NjmIwzAKzGAIejCKWF11Xq9oB+knzCqhn8znvzOnf7dR/8iSqfjWdSckBTJPB0a
qwnxH6gDbz0zUFlBbwTh5eecPwzgN5kpLtNA9IPT+EUAUA9xNUXNVs3Mz6rrDKnyG5q3bXyh1YyS
uebuOdZ0ya0wOoWyV8vErTDPw47bAv26q4d01SJoyFJdsNmgrmC6QR37kiWaAtzVjM1NFResYUAe
7wd2CVAs5LRl+ZSsSE8p9oWvVyegBMmpLefxNe5HTteMXI+JkZsrVbAFtuQ66uVnNcQ6KodoA+1Z
W5RkjgXRaOiP9lhNO3cox01uEY4YTlGyTt3+c9r6nYQ7ZPYvuKB0zK7w3tD8uniEmgSipqjIDU8f
hRNeejXeNmlNePMYjLn2Ynelf5B5WuxV6j93s6ltyBw8tMrWA4VS5JjO0akoCg4vtHICT6U4lvtk
Y411vhg8910W7M+UGAhW/KuCjgBNc1AXHK1i3TUZgiWdjEwttuS+HqaJYGnOWmFOSivYgPXUkgEa
VQ8oN/bhrOhItnWA+BH1C3tm2uxxf4IPJV10jTVgCphqdetkNocNTRSkdyNWaPatLMDzXa24sHjR
JbWE0urob2PURisnGiVTAEMqmkPJLYNOa89bgzKnP4Rg6ha2Z9KVjFH+IJK6JX1DBlNBSkHtEFEJ
AIfWp/aAsxIuSAveAuGKRku0ii9+D1lssKz8SN2G9h+3Gtq1EG6Qo29kEoc7FD8eNp8qXjX07Jbk
FxKN19dJMEzW/EBBtAcYutKuVOkhLnaz1VpBHif5CqlfFUzCgu9WA5voPeytVtarwxjFOm1BmWz0
ofhku+WDzCSKSVNsGvZ4xHIPzCEDVJnE6+TcSzHaYgEXCTq3HJfw9txlCQt7mZOgYeRIgEY/XKD/
EVvBrwn3M9w44glRKL10S3m4nGtqnrxPSdnQvGWYp8j8Gwo+10s3DVUKxDn9oEUQs51xGoMJocyi
qiW+36rO7oGqwAx1XeoT+/7aJST1agJ/oRiTZ316drzJXKiYUkIi21rKlDAhpZkbbWw3wuTUZjvR
XW/Sn6XdQ6M22zWFd5d41MGNmh7klADRIRBSxuehMWpK9Dmg2b+auqc5by5uAzrG1fu7OK69R7PJ
kjURJatS79+zBFyDE7WnNjMDVZQPndauTKKtm7j4rBvlSjIiCHKXcWyDv21JQ/XsKyfeGDPT+LS5
TTjFaq1xmdxon4alSV+60cxFqJS7jkKH8WllVd0nAxsR973U76cO1gfWiDut06N1mIw67/YwfR6w
RUDAapkyI/bwUfRhMde5LIi8iLrAy9pkUPY9BJSmztf0sKJlHvc5CEKrJEE3gQuWkbhd910UtCTY
3XqhSetiyAij1NGF5lCC9hbrIode/RG6lLlk9RsPCP36hxYNEpBbOmFWpOnYfA1am7lLW3osXf1o
QNjY+U3f3jVh0d+MvVVvk8p0F+EIKRghWszMi5IXRbIOWj28YGXct6alVsLJHlSZyn0WgsdxMvup
VzOotdrNmCGjkm5NvDiaWbdns/FQwHr0iqSdZwsTxyNaCTwuPoHaCBY5Aqdaq2/Q1iYrV6cv4yN3
eyk4QbnhzHqHRR9mc7otR7jjJCnOmCbdmdTQ6qsblVtdoovFyEkKIQXTlnSJV4vO/MpOwls3sWir
x6GG1mAaF9kQD6tRS41dATDhTI1298Ow9S9kNj/rWb5toExRTUHqnYGn69ecMEOzyaPMOmMLc/K2
SgpnS3oSCdax+G77+8lO9qN97Bcq979+0i9Hi0xOZQy2y9oOUS+2duh/GHNHupVuVssycz45Jk2L
Sdjgna4rb+1i6/79tVrmv54WyJ/jjCMME2aO+8u01qsQ+pbdTN9ggKAEMMrUcGZ1cLxyl+Z569Ky
aozsXiK632alRkfsupIQsqkzxwibA35z3DVdxZQubW+xLPkBMzNW+cgoUXS7c7jNDD0J0iGPtgnB
c1tzmjrywRWLYKnv20b3tpQyX+nAITTEJQReubjle2gw+vL331/vX/22P17uL0aw1M5zbFvC2AKW
Ce+6drKWitIqoN05L3//UT8Lw77/uN+xie436uL13/9gmTMIFChkNhnbpHe/SheNrBL2GyyWMmhF
/fL7D7Ouj8ovRy9kYVdI4/dPu0rHfvg0LaF2n6rU3EL3v5nRgj9bRdzv0jH6YiRUmI2TyRvQ4/He
k+a8ldoEvI4gi4XnRPLkp/025ZcMOl5D4t+mddr1ck+HHm7QhAUtSfgJM3EN45WpCExVlTfwBcBQ
kd6FdhKtpkknbdFZ2nG6Hkqa6/HE5pzy++v8WQH37aZy4oePgovZ40qvj/MPl0kskKNr7CNbp8GT
kTmocgrLzDi6OdoNCD7gO32TZ3/zU/7Vi/rTx/5ypkb5yuJW0bnVbHFF3IkvbmawM7dhhphe1/al
IgiYqeQNYJRq5Y5wqn5/4X/5FViUfCQfkB6YF/185bkO5rUuEmNrJTlmAbbERHQnz4cCHkpBsVw7
F8ZynDct541V/0+1zn+7WP3F4+z/+Pm/vDn96KMyKCN7K/P+zeqS6SzL0NoXjcODrUV/45C7Vgq/
PM5cqU7wB6wFSAa/XG08guuTYIC3wurSozGirUu6UK5+f1P/YjX46VN+uabOQnSB4tfeFpLCf+QC
6U/YK0lH+m9+vr/6pOuloDgVVKvOr4tB7fclqVn6FQwwLkbPeM6BPbPP/M0V/eVj8uMH/bIOUH/0
EnupzW7CaDkZ5SUFZbHxETGC+uyt+ywiN3dBaHN8aa4HZbOW9d+w0P+iZLZ13cUlTO4hwthvPIIf
3tIwnsbGJX1s27tpvZ2ZwjzUpm3sIBNa29qaHqvaz4JoYOacDEgQmwj1otvk+gIB3bsGDAl1oMaK
yemiPCAufHawY9wYifmEBKH6m4IZIsavDxsEJviZHk0JvjEk258WFQhBGT6zlq8W4fFX3yxYIACq
OUffo82nyXemFeoDIJNgSqMRQClFKMRmsGGBEGW+GgqW03YodxxTw1XKwKEggIIwZSbRFBFfa9xy
O70pOMIxETbQzCwSJmnQDzx6VloiV/Vccbaqw4Zu5IeZEMKsxoacTYewn67rvh9x/qdbUP/fSe+Q
fTu8mv+99O7hvUjy/3N+/9L/1Kz6/md/NqsQlhPh4nqmj4mFmGbWpj/ld84f6OhMJNDX7paPJv0f
7SrD+oOYMV9H6gRLmUWAjetPOTodLvdqSndsGyYdQwrn32lXXZ/Vfy6cV9CRRSeN/yDjhe75r2my
bWN5vTM57Yoh1Q2QjAGwW/NGzkq0bJHCYhXc29008yhnf9d4+vk1AocruAidFpkvkOMhr//5NcrC
ziwydLarNuT8qM01qJYhyf/mBABE4pdL9FhbHBhc3HnyaLidP3/ORH55Orowho1cm7ehxJavyRhX
IuXB4ip5Wsw0oo9JN8SbvtaTo6wM/XOpfNx19QQ7OpZ2hx4Aot95EPTVp3kSh7KdoYCJxNo3BNOz
q3f+yUo65mutgokbwrBT21DHw0J9dMvxV2Sn+grBA/n6YMWQO13GI+fBnaua1tdoXOyKSV3QO90p
griHEZA+QCUgXOfwtCQDvc46uzZpS0yu8QTVhTXftioyj6bXaQ8ucFTUhZV/GS1Aoy7GOJiiOnFc
mqYwrgEzaNwQwk46zYs4d/oNEgBx8LOBzD4W2t1s2/ZVsqdpyeLKuMu2ttsQqYrvhkA+LelRGTai
sg5NqDX1xnatkHBobEYIgJwM+I7y3pBpQdHLzNq8A6VxdaUyeGAepXHXOvp8aki7o0QytB0zqvJb
9IzDRxEq/bW0O8LidaGVivSLkj9lxDC+jFEUZwvNG4v70uqe+0YTqyFEnuib8uCV9sEvy3obpbD0
h9ZLNmCD35xe9096b0848XoAfnnf9QAjsrRPDk5qTRK+wDSde/CR/FhZdhhAt21ygG4b04uoW9PG
q44l09Ad8shiaw3x+BBZVbrxwxHzfduTA9x5RP71/NydkenvWCz1FcKxjmwet5g2uDAvBR3EI76w
azRqW58sLaNl59JVg1pA6LLWeVtDIka4droxkMreOKpkjEnlFAXM4XQMa4RrjPvzFvcjTSZcCS64
QXSEZJTY5PA4su+encjwnq9sj1ONwamdInHwjAaR5/U5B46dLxtIUZiMYQkNMLehT/Qy4OzSrSx9
6gK6MJzqSeWhSKOyeXCRFvoLIdrs3ouAHAcD8l0DsydZfHGQVY3RIyBNxrfU6y1jXQOcgo9E+HQT
ZN2Q8LYYo8jW9jxDP7JG0x7W9Cfms1e61qfSDuWdbpVwxF045Bt1xRCMJHl8zBFqGHfs/EcpO5Mj
4pVjkF6JBkmPOddCEWcEUzU1Loi0zEc3Mg1VS+CcICzO0DQ0A/41tGjEmBctJuJNmVRl0fipJtgF
YznjvGPaGq3xBmpQbWZXqCXrEmp9f3bST93U5jdjQZJ4E/X5Q5eYYgtredeVidh6+fh1JkMRsd80
rrPSsr5GMBC/JIC+tyoSyanJ+ng3t5zijZAAF26nNSCajOuDLsgUDfrJkI/OaPqf09AKd9q3LBaR
a8sSzBpwwa4QADmbtAkSJHen2YBgD1mxfcYpxNizHw0kIbN4J5u6XPdjlXw1HcNYMSwv70rSNBnH
+8Y72dTOjdHP/SYkU3mhJq97DFMyK/Oh049yioqXOBXNU5Va1iN8OHsXd6O/qGslw0BkQzYu+z4b
N3XXwdLP8EB3ZMImRvsZg2sZHWKLEIhFkeae/WgikxhXgr98aeeQbFsVfw1DWARbG8bNvDJoUc9b
2H0zSdtJqlaAPMmUiy218MVceDj7Wyagkd6UmD8nUgQ7BpktbtEheedJm9SiDGPFguT6CYHACasx
Tkam5zFyQdyqNSTMwLrim3uXuNGjrFWxny1ldOvGzoyIGazp7UIm+29CE/5Njy1h1+hu+NxZZkuw
kTaMWpCWVA4rZHS8NtAvw/fYUSRBhYgQDxAxx6c+LUlBD6Gah0FDB+vWQP3QLQ1yCldhlEzvZTrV
Z4ngz9zHhQeMQFOvCvwvLciIG1MOuXZf0mP7QA2KE4Nj22p0zaFf6X1PtwbtqkQPyznwhYcfySni
PIa6o8rIC6TPBpylFw30zGYcHKR0biO7ZQ89JsOzUxuvUz1YwSDjzLjSOjFoO30jX7USKerKzWr7
ubBr/aVJIjLrm9n8nPTSXFr27Ae+nNu1nkfdhZg+/0tnzdUZ2aWfoheUeoleeA7nZT5fwdbRhCyd
/1lyYGQ/VySduNYD6k841aPNS7+obNlsmSTwBcgiyK4SvXlE+0CuFEr+LOUkmxFxgrAZwLa+iBmu
5nhrVQlAF7NLsYTyNE8YvuiOb5ADexQa130HD1n1xNYTRoFKmYwsq2moH7NEzoeMgfWanwzpb+rJ
tc1c5oiYjQ0v8hmm6Y0r96SoQY3JY0uThB0X5U2D/2ZJCqd+ZHrvInlU4oak0jhmQuxal5RR9xkF
MbLqxiyPhWpHVlMyEQq6q5uYZPEWQbKTlkuGf3ho/NqK7zTDN5wA6Ex3zUQY9euLjjZulq25iggN
/5Kqgue2VwnZjDDbu6+t0r3LDDyoQllJDhfdY85bxEzEL0y5CWXUK3mLe39jSWe6iUfDv5uzMXoy
pEgXlancZdjq4GvrmK4wBHqxjF2/vQbExZfOJX+A26nZjwRjDJ8HlWS8M0nrQmiNFDGYsXO1aemW
vrBs0Z68OcbdWhI5M7Ah9023sfWq5gQBWGCY0vE8zDV/HNtNdjaxzt7kSW6d7cnAwzYiGr6bpNQX
ypb6IQ4V8psCDio0cWi5AziFGWWN76wTPSoJwbA+24MmgtFpL5mK9EWhwhoNZc3n8YfOeggLd49y
tdpA/zaXRV3Ha8CjI0S2tPRuCOBlwu90hlUEGRwvOvJOXR0q9Bcv7HIoLSoeKs5BHIS+FkM8n2FN
TfmOaJn5zjFTx8IBBRp7MQ58IWhHBSodkx463YK+/aCdTTSa7SXyc+/FgLwLOZDXMbR1vUX6ph9h
KQzmovHyhNlP4SrB0iqQTvoIwsfd1bbC/zVWDUDKRV/e27ZqDp2SMxb73O48jnyC/bDuk/5ZIssD
LqLnKzci35ktdMLgjDCDYSRlJ8lKaaM7n+c6c29tGPZPxsyRctkMSXbFLtfAivHzMwvs9OqxYYg2
rQwsXpJb6vs3TVfP50xvh21buvZDCmlpC50mvUD79V4mhKQMnYw+r5jeYHrYhVNio6coHL7JcIWU
LSM/J2y5EUhO/QzB2XqYzQIk75iqe5xBIl5QF5j2slTMT7f6VLXHXvPjbqXoFRzjtKhpYsI4WEap
MQ3X38VmXe3iNl/iUWIRQ9koumPbjPl4KQubXKQ20nrcaMUwzJCmNRVeIn3ycDxGV11HTVAdHJmM
MXWQcSAWawEM+n5ow1aj8+hG+iodTHPY+04zeGsDIf3Zq3J/3w8us9W40CdOwHQAF4ays32Nsrfj
tGZ6QE9H89mNdeeZlzod9oaN0qwwYmhKLDoZS3rmPqo6HMoD4hAE7HoyNgwWJl8wPyWQhSNrPdWH
ucyBpYM1n4JQmwEMwAshxXhkKpIsTSqHAequg2eD38Rv97EKw+ecnM0n7HRDArpJ4i4XktI/r8Cw
IvTRPnQjDZm3GHQxdHaVnZpGluLKi9MXa7SJfkkyTT7za9cn25jTfDkXFsNSFvNt2OXmYbYjZC0i
lMcC7SjmjBApMapzfie+BKQXx57O9SDymEBc3ImErXSqD2q/EQ9EhDRwI36oj2++l5a/GWJ8L/t0
UhphDJHgY9sUvT+2ZEuzl32e2HIVwmPYVTL6VCblPaO+F8sv7glaYGOFixlwyHzrkDXf/v7zv1W0
P1a817ITGhO1oE7dKX4N3lPdPJjjbPerIZJXNWQPksPVLM3b2jHq+WU21IXJ6LuMv5RsHCY+siYv
FsaQjy9kW4gd5J/+6NSFvMtwXZyuF7N0UJaQl4GA3jQ5wieZE5XLnh1L3li6U4Xrbxfxv/2YB1V/
/N//eP9SJGWQdLJNPssfGyvfnP5sFz/85P+C0DolwHjefxIP/fPPvrdkfLormGEwBv7Zdfnej/GB
R/K+gz51meN9M/r/Qz5k8xc0mK8NGR4b99pg/rMfYxp/YK2nwcCqTOgolsh/px/zK3vVEyRuIdF3
UBkahkDM9PPrAZ19LgmGGLblAJxWZGW9GUVTbNqUjByaDLskHF7pGE4LEfUfZuiEp0iwMP9wy/7i
LQVwx+f88Jp8+x4mzh/hugSpQgj++XvgE9Yq9I/IDLIOEbVrrG0rWxNw4vTkLR7sZts42JOTc58w
21WiQ54Qhac0noi8aq2HnkqtMxHkP81o2vXyYHFQXiaeFJyuPU4A7qE2WF3GAbeLkLeqx7t1bQSJ
2tEDvX8caeRzAl9NYQl1t7uZsukyZuHeBFuPzpnYpOIZaf9FS4GwpCJ76BOrXXVW9G67WUWmRe8E
8LimeqEjQVmxbnZB76H9BOTy0nX1A8rUdRaqbRpZN0wrroEv9Li4sZ1lyZfYGTPa3rO+pk+zqCbn
OJSFsRa4dJR5qrRq7eBwHLxnLZvvgFnec1zdd9G0NS13X8blkjzyhe4299MkXj1JUaEmHHw2GEY7
Ygmf7MrbWgh7/ao4QxCDyyQ+KhTKnv6GnODRjfh46Z5a0d45obFhprQyJi0YTapj+jPR0vHNpeqz
FY6nTwRHfUkay9n2s2UQYO58Nf053HXCjLHTWcWWCrUJJnc+SGM8aV7fIdqNcw7oVAPKuceis2v1
O7xuS0e3HEwT430zRTc07taw0FPulg/dqFSrxAmkM+5xujwWyL9BxlNzdPdNOX1FXLubOv11hlKm
at1fxGP9Qvt7rURyMBtLrIspCoqwwmHgP/J4LTKx1qEeLgjCBlspB5wdwznSwheq6MPgWHetS29t
cvtHwyIK0UAjX5w7fcDrMJEuSaRZNcFe41xMzDBmuizMA3+Sb6kll6ZNcrE+5S8uj2YTO49JAaYl
1Msv1TWgTMVFUHUpCg1YckUqP+uSIXSoM6FD7yCdcuUa41IM8XNaGA928ey27XxJszF7Hubi0GX2
bTgNw8ZTlNAtmqQdeJ3AHbIDILjAacotRdmL04cfmVad8ADX4rGz0dSiVKXBVuu3hM1VsGvmXR2l
z7ZRjlvAMWS0xTgN3eMwgV52xBrk2cVWt61XQ9Dxlx3aL6otVR1tn6DWHh03STU3kjymVZTKLZnI
FNzI1IOkFNnWi2/A1xEbVSApopuBMkLgrWY5uEkS5ONROD3XMx0x1APhzJkTZhEdYKM9Nb5BElqU
XUPYrJVCQwWU4pPIPUg6N4yVl1Sft5z1EUnba7KcnnQPPBnz1Fbi82F2RdoKUeGQmHg0XCTZZrGz
KogBg6H3xJo456o39rGJ1dOcH5PBFAEG0NfEcQDBJmLlwFhVylr3xXRxzW5jmtOynD33gFpuRbvq
M5MOGtbp9XUyL75Ool4jxYU+wW7K/LcSrkjSiy+QCHcQom+VTi4FBUOx5gy/FaU+HvMGUV3lTh5a
/PQO5ny3nEP9ElnE3JTGTQsrVMd303oN90nXdl6dnNi3xgCMFyFr7bC2FfWg5ogbEtZuyU2i51LW
D8nVtYXRAYR3zICwqz+RshMQsvJUoK10+AeBmWbrHNAVgRVUL3H76GIwCEv52qui3sZGD3XD9Z7m
UdETo+c4+afJlXi0w8VQtA867cXZal5lLt5Maa5xUR91RYSPyp4zReKCrLkOR2PQWq2wLa5mF0KZ
srU73+P2FCSoei6E1d5Olj3+9EVjV2Q9uG26db1xN6KwgGS5mdv6q5WR39Cn71g/YeGpcFdSdJ4I
erkivOqJBDPvwzTdp0mQDMoZf9WMat1YPqwlO+9WhXUNKjGAYMz+u4nsC18RaYu+1JENIHwzU41W
knVESdWteMPOQE6fGxyfKMyalU0RtdSL7j3NXF6MwsCVPr4SeHxTat6DNnpHfZDnGdM83mxXbbo2
O5lVtJsj+4OMVbHAbZEHRtIdZ24rSUmnbBjXuGsxXeCOJCiVyGDAd96SxhK+e6jvWPoPvHo7afRY
QWztpqXBwmIRZRDttRPY6RLzRfIFZzsegvwO4BSwKC267fJ+wxCzXbTUGm62ah0XVbi1q+CjjN1I
eb13yI7LXI8wlStcRIV7R7z2VvYYFh36QBzKqoeeBsKgYhHSOTTKONzUrRPU1Rt5jufCd5+H1thN
uR9IYiPHTm7HoV6HVolseMiXcB52ejKFiyylAnXvm3DEY2FvVXJuKvmsCto1Y771edK93Hjpc3kx
x4F4bx+YmQ+OMMwCdC7bWYuvKdPtgxPK9zbrQ6p/bANO++zRohPQVpwRIIhvbse8R1B2nGZynmAr
LLSyvdVm66QmVi681wuUIlejk3sjpvijVodocFeVq1/iifp8PmMtWaeopVrd+kqsLBnS6BJJHjxw
fgMsn3yl8fgljuyL5ciz5bTbJIseiPmie3aFxrX+i5dO9BK/SuJlG8XSWZTLTrRn0Uy8hNULr8hT
o8Tezd8w+79i5H6LtJSQrPTY6/0F8+nSqgTLSxifCLx/no3/ZO88mitH0iv6X7RHB7xZaPPwvCP5
6Kq4QZDFKmQmvDe/XgdUt3paUrQ0+9lNxBS7iu8BmZ+599z+ocY+5w1sCAIMkCXpVk72lsULf1mz
PwKPTJXO3BfjdAFvl8EdtEIVGPvMajCCd+/MXxmzBpvUmVEyqR+EvH9k1nQS2sUvI7StJrFiBRJO
UV4al7iqFEWjwvMpH9EUWxwKYljbHMvdjHgmC+2227QsKAbrMiv/MJjpnR7In73fb6wUSIJNRo1d
EJM+YuZhBy5YBRTxYo0OiFWxk4c6d0MsUzfSSUOBR0dm7XdxyYE3N8/KTtZWpW1JHLiWyP8MFgMr
q5cvngRFoM3mJhf8Wurem9f54s8fh32RNZ92MJ6ETEj24wOszbONsQOMRoqwcImETk8gPteu577U
Y/2B2DDatDYMJ/KZX5yKqC+42hhqVPbMGMl+GObACLGkIWDVdQqbomCb3uOr1+pjQk+btEx6ctu5
xxb2PVbTDzPqXps+3eFozcDw1S91glJ0INzUqzfkuIQueuJ4pJiZn3rirzoO3gRGhOVkt6oE3hQ1
u8lwNl6vhSYeoMEJwoF+P0A6K6IiDIZfqYAdJB/aKjgOGSCeVhIPecSyuHZTLxxv4yy2RbMVbn5X
RUWzBlqKFFYI7g+5AJhuHVfRegLnqobdDEDaM1/jQb/JTuc88JlSPiUy2bWWs++kfT8n/rasuzOR
tA+9cU+y34YxM/CRN40mf0RStyo6ZzWpj2Fo90wYz7KsSVqqxuMYNAQMVe6vIH8RvJtTER9JrCd6
ghlAQCNRVlvZIkqf4hVkPHcghtFu3yWrKJTF3dqJdEnobbrpNO81aS3YlNVLxSh6rrRDZ54CktUk
0Fgu2mSxzx+rzH00sqfewT452SwNmqQKVhHQMw7r7DnWPRYbPeG07MLOHUp9SstmRtiZswL13eyH
5ggku/FcHFgZ1NSQddB+c4akeCEbsMfXhB++T9vpF3hM/z5Quo+m1+o/+6EggywJ9J3jKHqH2Y36
MOr8kAX6uCmAJP8g4Vc8+FbmnvQqxq7PYZ/hViqTl8IL/E1qZMxSe4tPkh3wW0Y1vGeYB/5WEWa9
acu4OCoiArpQ6Al4BExp+ZjKA87JeO/Vtv6Tv9L/QfL8/KFl6HMyViC7SFfGY4HmBC1y3N75YqqP
eo65XNe8+pF+j/qYwozYkzpvHqossZ5QlI6hFrCom5QYDrrRYGHv7fjQaZMJ6zTmjps1BkmT4YOC
10yCKvo02HVFWV3ygrg47poyHJ1gPoB8bS5mDnQrrbvmGHTeQsXVaL3GmvBCjxnppbUBmubmdCkQ
x1PPTLp6LPzWe9FrffpRAtw/qdaNtjFDxjubIN7vCNqDq7Ly6plGh/fHb+Lsw1fg+bXUcoYVpbG6
s/vWeXICJW6BpU8PrJPKqzEgse1tNd7VRSBIWHzppQPSrK93wdyOt6gw7GeN2Wi/yuVkfifkathi
quIoI8bqoe697jrI2TujzW7foAB4+6zo/BOb6/GDjNf8vkuH9h4DQHOXdoY6ZHJiiOwEHbA4NouC
rKytMeG2iKnrVyzPXUTAJEVakWmQY6WyHcTRcpctDXaeTAijmXyxIU4HkuAt4bySlQz+k+PpTTmp
eQXiZu1t4D4nos4nzhRWVlkq74vxbRSsi1H6hn2bTnemOXGTltnUPzY8mZMh182U7QqEcOuumn84
qdLoeJvOWTNNfIo099nP5ztsyt9dme4xAR5EAb1jRgput3KvueOpkgpWzQDw0nNCTcc5amuQ7yfu
X937NmjVoWcCGxJC+ummXGamercZOk6FCvs42bY5q1IqNy4G2xnRX6IAvPqxre/yqH4dzeLJzO2D
1P1raneg+udQLESDotv1jPv1+sUw2mADQOXbTHofWExJRZm5T73dP0dY88qJwa3GSSRFcp5G7RCD
BPZl3B9Ko4LZgsJyT55nsk5m827ySdc27RQfSL4JKnGp5NBsC0VR3ki56kx729ftNm+YupWbpnvt
BEyAojnhgsAr62/jNP9V5s3z3w87rK+grT+HHb7tIhUHGkuvCX/KQAnz12GHCwFItY477N30lTZf
nuaxG+9wYJsoztPpqLt5dR2LeH7gfBK3AdvHk6EaaKn45QkGdfMe+yP+De/rVUmWt4YAteDqLG+S
WN6pZHm7quU9M77euOXdK+Y4Yf2NpHrZ6ly65R0lRbi8sKyfj6hVmpfo62Um9LaBAZ5oxzjiXZ+W
t95f3n/SG1gZ4jS6ZEET7IZusBZmMngXFSXTOjfq6N60HFLolrPFWE6ZeTlv4oiTR2+jEV7WYD2x
DedcgkKJXE2I9lFXRfOoF00GIsetj6SCtXckwVnbYDnpzMjhzFtOPyLf5g9nORE1Igp+msspWU+t
PIiyYDlWCUi4y2HKjBUigYxJl/06bDtix/ZT4ou3vKTOKPUpuNmM9jcCce5LbwkahmHg+NZBt56q
aRAPdlAYPyLIsJusCkILVl7ofl0CRYfBdVhuhma5I6LltiiWe0PJYPqlL3dJvdwqzHOKF2O5abSv
S4dvszjELjdRtdxJ/nI7Ncs9FXmpOABHJtOSO0wstxkEpmc24SZb5bmZPxkSnnwi5DDNmEYDNSLT
v/lTx6qTtab5OjkeQ60Mstj3ISBaajVZODLKmAFUwrO56dy+YN1FAccGx8RLml89Nu4ArmBboJ0R
DOR58kiHIzzQ1vauJlhV2LUXvduZ0xV7hK4zzU3RGtuGYIB6Lduvv9GCUhV6md943NOax5ayyAVG
l6JIgW0o993H2n3KFIfEzsVYAbGJFC8Os5aF8crDzvth6eVDb5F1ty5RPlZbIFHUJXQLIdob4C59
5gIPbz2mak45bvqqugm6zf2g2d/rnFFOB+F3J2fqypnHdwLdzWUzbgICv5SqntIWQZU2wFxcUAZE
deTk09Kw/6SJedVQ+F6sLgg2TWk/w5OgAtJMa6MTnskJK/yQfOT05g+udvZRU2646GET64l88vBO
rlz0NEeBvkoa6onkdXFSVZDsc48yu8v0Y2wZ7SbvxSi27thT9LRpsu7RP0tDZ1ZiyF9Yi/GyVDOM
EyZmG9OYztjD9NWQ8ceJBxQwrftvTmeQGw7FY5uDbA6Bg5m7iiDOtdEveV6zvfNFAZ0iHzCW6ZWz
ZZjKWEWv3xHKPFAXwnlyx2pF9fFcFuNLYWb544C/8870U7GzwVX4qxhe3BkyqVinSVzs2mmCnaGB
07Bg9mx9DzMNaMxm25u8a4XPXDNqkPdo8eRBuGvehrz3DpORyG/kxr45BjaczCnrXeqx44S0U++i
GT61XUsYXRlsytrAhNmW8AAW9z4rLeaLiPfJxYyDjNKi1Gnn7xEj+DCsqZgmQcsvAIq/FASlboKJ
rjVa+oEm6J/4OcDklkN8loXn9hkfHYy51okwZgY6uUOTvBSR92mUTfaE12nmKeBA0YjdpYv5hSj9
SWSuwZJSsrjGjXYti1KFhKaT2BuITxw/zipVDVd71WRrqgJML5P8mCbz25B+1x11aYFOgdiSRI56
97NRoMhI8l9uM98mo3Aphbt8paVtCkrc98wNTQeIu9rs15bicEQ0mIZ97nNZFXb92KPVfiZAqqF7
NX6MhW5tnEo9e3W6N2oOLg2jBp0xHlIEWeIce9Zp8gYkvRbv11hzSbA6l2sG0tceuA8OPa+o9rLt
iwNEBrGPWRt/U/7SZMYWvLQxIetnbLxqDlXbz2+RTEjVDWwRgmvVQtth6OW1qnxXiGQOseayfR8C
UNpoFe+igr1T30T5vRNp40fE+QNzrvL2CDbat36praqlykJykT4MX5XXUoOZGlIXDXr6Ovqqzjhx
7Wd/KdnqpXjr+MS/Lt5/rbH+f2sshKh/oyyuZdnV2JV+5njZpsPnv//b72ssfuz3NdaS17IIvbCu
L8LiP23wgfEbuyMkr6jv3MUJz7rqDyO8/ZvjLOsqks5sH4fcP2yyoGObgY4w11rId0hz/5lNlu3+
N+GtTznl2giU2Y6ZQLb+RxYkYRQafvIObwF+x44unnG3v8968muNYPzmu1TL/ShSQpUSNHlF+3M0
zVeFmAOxu35DvFXxlg2fLWSpVYINm0GIS7SCBpRmbKv8MSn15uT1MfWTjxxs7onumyv14KLuYVPS
iz21JEdpXF69MjFxEk8I6wrnG4nPFcip6VbQ0mUlXoEpxxsaEx+eB8pezYn2acfW1Uprc+UUSKJF
UTFwYp+05yR2GeFYEX9r3L9J1mPaXJzrVKEVaYcMz60b37PFCAAaOdpGr2i8DUvlgL44Flplz8dS
K92zyAkKXJWeDSdMT6eXKGC2JZP3QdTfEgaL6P3bab5onu1s6H2ixVFbh6JjTKhMu7tlkyI5NrHP
pWsAzE+cbjtHUwH5MYB9XxkSspvXoRhgPWZ0vwygPs0UuxujttCUsLIOg1JsRNUku6lxshC3Xn7x
VAGabmyiD4sR6t6l7DgibivJ961wmQ6Bd0hqozyiHHM/Wnd6q0eyEixKULg2PcqjIOV/5Vb50bmB
doncHrfpQAsm20Gt59SxL3OCusHJip/KaIcdTbB3V+uIuYbYQu2mDJPDt/AZlXo2UY95R4R3VTN1
GM2bT/UFHEmGpK5Xd0wfk29WMX2z/VKEA3fKqllu6wx9F3KlDlcI8eXzcqcnXCoy95O9VwRvwXLv
uyijVjNtm9gOBtzLngKBJGYeAFK893pZi5P00icWEk/eUlf4S4WRxaN8aiLYNeBNqDhxe1/UUpNg
SfcpE6lTZpR7m2GpXVqKGM8CEe0xi750qnrleQ1+jkvNoy/Vz2wiYc2WiqgvG9rB6ElQKrnFiASI
4kktVVS/1FMsbkAtU2Kl+ajvVdvcjKX6SpY6DEkz6Tdd0b7oMRmCjuvf+il4mkd1D6qUZ5b3HTO6
jcKyZ6xEMoce7MaxWZa1llmB2cQrfMgj9kFUanV5byMI2pClSQBEnaR3JMeQwGGz4MJNBhCeZ/Au
bpv+iLFT7uMlrDkV4qmWQbOb8QZ12DwJo0jR0ICdVzcIUP6OqhZni9O8GHEzPmZBxoiKdfveaNFJ
tLb7zHVr7hLZZy+pSmTIV4Vp15mgk9KZjQTBa9F3Zu5LbLxZnWXbxMd5GvCSRT3765Xh1Oa6i+qf
RVnn65iyl2kk/Zeb2eMDg0DoR6OdsATu0E017tFFAHCnYzwgk9UBUBMMgAQMQDJT6Xd3upqzZccM
tGki0aOdKZQHr2A1q9BdljOZTkk7rjs6mqUKKpD1sPDQm4iZtQv6LWmXyBi3ZNRvisXvk6WQ1wHN
uTCptO51agL3uYs7b1/5ExogVKm09mSwOL2udpJQioPyqulUeY58DmTJHLeo0K4JZzZv6Wxo1yCr
Z4q4VL0C633VBV1z4ZIT0uCNLpvxvmx78ycRQ/1NDu6AfLaBOGj1LgaqsZgJONEY+LOZojsafvZW
k915qOyO2OGHPb0T44eoZNzgpcnWmONXn1jdq1b7p0jLTDjDcN/ZRQZ5hp1yQsWI6OlEiJTJmyuJ
O8lI51uXvfBOdpqp+2GOynNktOpOEIoQFnp37lzZ7zJEo68492GdFxmrn2pi7DYRi9NJYoIIHuLj
VLN67gP+GekwzTeigR9GJ4d274MpLKZBHkrVPXAPMakk5mqLNTD+oAua95g9nmICGTezlSO7NPP2
Dpmgs/b9Gepz7nfr3JTn0RfJDQB78eAoHZqWZD1fG3R8yCKWzsyP1mD/qKiREBsHzdG6dYsLYh1J
P9vpdVKfR61li5uBHoky7Bu9R8gVA8yfhgFTK3BpnAiugfLk/pCmP4WRYnPC6pattl5am6Snj7W6
Zt5Aj+N4iRJ7XeTRi24X3IrLv8FM2W3HcghCSF7mq9/zNqc4BglCnoMLuVymCs0eSesqASb5ocVd
htUeitqTWfq/IF8tzN+FCk9HLYwNmRh3veUHq5FcXPTPIJVv5iC6LdsRbeVo6gYbbFk1u+qlBHED
DhgNRjCLlyx3d442pGuXOyHH6BZ8Z8s7b6ug/CxGHii3SZ/6ClWtGqdhnaf6de5n5hLVFHLbqWfk
PibjTS0I6+Wbhi8fba2eet7POHraIP9kE/xBXfzWe2bEhwqFYJMiddh4DTJopDDyOEbxvRQVqlWd
LJzYMh+k4eLJZgQRgpM01ygb7BXdQI6q1LP2TU+AC+Ladj03MR6BtsXPMRbvusYp5MLphKsAh9f5
mMi5GGznk42jg0HWYMtnOZ//Kne/itP/u9xlBWz9rWrrSrZL+p7zif6l3v39536vd53fzMXR7NmL
WZSZHaa435Vb1lclbKPrIzzB0xcP2B/1LvR708H/HLjmF94Jm9kfyi3nNwP7HE8xZHwc4gQY/hPg
J2JhmRL+OUX0FvuxZfmET5gLUd/7Uh7+g4119hs20ZPKDpOElpF777EnA9Ik6uwqoNSdZcrgN9cy
7KykhDlJp+0qBCrvo+14F+U3Bg2fv1OOm69EOXB7U3DYuQ95OwvWaR1QLHbSo59NlmLH7h/6GrHw
YFr1eii79LERxO6poK6RfdisOinGGveC4LGlXJUb4WG4b/vooSMH1gWkuNGTqF5RoDyPIvK3dc8o
18ucM9tK990DYsQMmFFMYdJk+8F8SbMZduLQssdLJzB47Auhyg/boemhRCm4TQxX2TF1mbWugG2s
RsNbd7i9iEWCUSRsqsngk6CX1UBuedYZm6kxbzJzTkWNCNPsUCMU5i/HkCP40mhZCyf+vDNF/Sj5
bO9gaxBjM2vljmiuZ3hEK1cbzp3Dhxm0pXVWE7+ytJKrnbe7SouMFauvi+UQzIeiPtvJsf1BHTJf
o5eG0IxVU6XBlpi9o22I9MpC6MV1CBqoug1RAFOV2VVo+Pmv1oaHFLhqayCtGn13heT5qWKrJRCK
rmsPfUZfMg9jkrbWZrXXpu5BM52ePWgzPhNg6cDazjAEm+MaMD82FoQ3o1fFrDVi8ZhnNdGr/Ufk
cM3EjZ1ux3HyQ1Vk9p1jETjOIjllJFOWxJlpaue3AJlTpI0HJF7Tk5UVNyupbJRrFhN8lYnpUU+j
mdFD05a7VlPx3ejC73KeLcqX3azc/H7A5Reibb/Eun0n2KAnifsapzDkFRl5bUcUkRrqM6TSgwZO
kDzd1yEe6hPkqwnwKl9Vc63r9leSP+pVCt8Jm+newWMZTjQlm9YAQ96HOhlwqyqwtDAaZ/BLZnWd
oNMnzgC2GHk08YGAHKdFM4YG4sWEGIylgeAx/Kj83Qq7jraq01J/NmUtCUXunRX4M7PZoq9jce4P
xq5Cz507xrsdaUztCcpLFT7MJU1Yz9g4VvdW6zPGUesiIaNvFsb3nqAu9P6F3NgdlO3Azbd5FFX8
dyc2LFZWa3ezsADsDjOo+8AQu9zy4fzbFUkFNdaTsJkc9z6trJJctWY6Kbv23526EpCgcElhB/EP
DN67Q6qi9FVZcdCHXEvyLEwoYELFQMtY8D013ggHLm8bdFE6pqFkiVSshuJeuFZ/IE80feOK9B5n
W+LD0ZfM+jJ3T8ItglMZSHdruMOwbQ1jWRrOI3hCO3uaWzk++WXWHZVeZs8ZCT7bCjwjm9AyqN9b
yuV1ZYj+ag+BcwFmV56T3h8ekLtYV8eYu2Or10TlqbSjbSnG7UhY06lK3eQAQ9S5m+tC/LTsEVVH
gz3ms8xgbKyYlAeXuRvkhQTS4exEaXtKI5+YNUhY+r3vj/ptsPrqarCCO2dJIZ4pqwJEZk595lHx
zpY26GfCblri2mrJtDkrvR0YtfQa8AsihGinB5XicNr/w1DlfxG6Wl9TiD9PbWYgqMGZnXAL+ExF
YLX+dfeT0EQVFoz7gx/H6bW066I/qKZvrrCYWNtF8KtKAwjDBF9zDVkCHFXvAxwetXiDNuPZ7Rtt
m1pTxVuglglqYxRrJ5b6lt1CgwxKxt9bGGmEExaxc+/mujq1BPN5EWB3WQXzPe075Urkp5cpTvmi
KvFMeG2xqnFO7wlnzULmGsSGT85TXbOE67ohu4MHBhlpmLroqRwwHO0CZ2JY2Hhzla9hwrORp66j
LXG9ctrlsyCStEE7PO70LBYKF61dfNfA8cs1ET4FUQdG/mx5wv/emPGxSfEdY6C7dZ62y2WbhxOq
0BLYQVi1HtptPXV3MsvPmgXiY8oMkvw661aO7VmU9WNUez4kcDim/egciQwfw5kOc0NMZLKytG4O
PXwkQJoQUs52f4rq4uxJXn8pJ4RDTbwdcphWeAQJk2JSgPvNjX+I3hmOeT/YMGYXjB6u72sxKUYd
gZFuCTtXt5LQ9XXZxdm1mwcPw27GozTTvwOtd/XzUDqslTtMyNLRkO47ungW4JrPsXSra4LG+1YY
rn4vEotVcSD7FnNwNp7z0pWXQW+DC9UmzzuldPMJh6onENWzxM8sJY97rKNxWy9vyrS8M/7y9pCF
3sHL441KG787imi0romWjw9lJauzrRPNOommv5aMINa5WzfvFRksMUHndrNNljc4WN5lcFfjU+Ql
+VO/vOmOwe2DLm2g+OYckMuJMM1sykobfG9f5ctzUPmPiPzSN+Sb/WFezpV5OWHs5awhTqGBW8z5
My8nkVzOpEAr9UPCEuScxy5H1tjW2SvCZKBASRYcSnwpp7RFmdi3rv+uUnM6lZHGIMhNvHtSGjgY
A/70iQLE/UF/LXajcltUYNK9509rd10VEzKAYmQjJWgitMvTIu+LakzNzRxQoSRE5jVbIh5SY2U6
nhq2UEEQEiE0dLPQiK162me2yPpr7hEGojsVePOZRnZemwFSCORLQaSOObV++WoGHthI00nKNlS5
lbT7Iq77+GySe0VD2EisX13r48S00DUPvHYSrbEeawhofSGmGIj+WC2GTBDLULWcWQ9re+kZylwV
O79qrTtL682LH4/Ow6ihkE8DC1KVso1bA2YsCaHyZvquckVKHEZt+APtX0F4TVIyXevdinCzAHrS
qvZmoW26LKUCouNl++9xbH6b01RaAH9zg7MFJ1LAI2ZUxrm2WvOWYBtFylQ9eNE0h7NSaOKaqQxb
M9+TJqzDkWyf2/7sIhSlV9QvGH7xCEkwfWarEZoiLQEME40uSnnsLZATV2UQj+usKEET2h4zyV69
lUkwbCc1/DByqwp9ALh+MJn3kV4NV2JmzdBt6g/pfSCmDY4TqSqcN5OJI5VrwCoqe6U8feeJgv2t
cVNocOAJ+uh2hwh4o+eGcVbrm66yvVMLhmKfFlEWSqAKkU8qStJx50no2hr3/0afyx9pA9We7wh1
01Raq1oM91znz7NRyl+OPYhD07HqHdJiPimmMKtxYC5m+ORHKaOafrHR4Bns4gL7XFO3ugLFJ73f
LU7/Wmv8//q8v11rXAjvYq/xv7R5f6417N8Y2bFD9wkEM2zfps/6L4MOCd5e4LgkkAXuX/i+zm9s
GDyTEwIwHQZEesM/2jxSzhYkL/9FizWERSP6z7R5/8MZoxNXFhjYhwIEZYbjL23gP7R5TtXkpaYn
wV7VMtvDvQTwK4MjdgNrVcI8j0MnHp8SDKs7G1xUGIt5fM7IP3nMDfkKcbS6aJWPaSTKxpOHAPfW
9PaDkZNmlMwGdfzAXNVkxciMnKHFStTRi2362aVNtENTL3zszu9OadLcNKxCRBqO4sPBhoIkC2ey
2af3ymeJwno0SxTilAnpXtVxa9KOzuuSJcZTAMWOsIcWuvkwlRfOrJFoEHzmYQYJdUl4YQ6J9XSv
5YHt7NGWjI/0deKbLMufCat7bx23VlVDLlVv0kSVCGB5L237qnKsiqSfJafBzzANWHazzm2EGAy8
13a36GgcfLoNtLubitOKLEvo/R1m6iEzQJRKdHFAkw2uMYmKTchvWD3wfbYlzYSWt/xCzVCtBsdC
NFcvik/Mtyu9i7e1yWXf8IgkK3rU8qYP6nNwGhvOaRSFlpgW374+0Aw2+ltmgKJfsSLtdxOScU41
O37shzFsrUF77DsvfehTV9ulgxPl65Jo+gdn8Hx0ZvHAwop1MwEaBsZNmuyBO4yjNCH94qtClUux
GpkYu9vKziC3EAzJsDglgTMtRawdak72UzmmrdpGs8m428aRG6HMidp+K3wtOPUF6qcWTgFYX4xF
Ysduuz9icKjQ6QcYYde9M3FzMAshR0E1JYkPNozbH2j1RmCvY96v/KDxmDV6FQO4PsuQcU3aFNy3
wELcVVYtxlAj8ByOS/S3+sonVvwbs/H6MretzQYAkaEMCQGgQyR2wVi3qA9wd0DdQnraMj/O+zvH
thrjYUpaH9GsajQuUNtLvc1gGxS8QU3hfFMIV8Se1K4OOu6k43RPKbXnNSUKnkkiF34VpcxOXt3F
MWYmYCk77kY2+4q137H9EpcORr2oeofgoemp1BPd5WYHMAA/dtPqbbbugXVRi3nU5NbV1+1vaePd
j4qJbCp1k8q33ouWJtmp9Uta0tOCcr31S9td2o9d7m4mw56ucmljs2QZmVZnFUdrKykOrri4GRMO
/LLc/fEctnXBV2YOzrrNiNeL9cS6l5Ol/eRxXhc+mbX0PGYrtXU++g+6XpXbYhhXGUfUFhB9ueZX
/WXND7jL143PzxiYXzPNVA+Nrh9KV0hIgaxe8BHYjHAU8T/LOlKmyWNQkrblas29705oCyekG0PN
/MHx4/3XnIAYqacMYs0uSTy86KkV76vFSua6GeSNSVMrIyuacJpnnfVRob3bNvaWCpxvDplitjAH
96UX73MfBES1hAraqqqYKuG/ioD5X3Sp3Ldgih/NNJNr0si73RClJa+M2iY2uUGG5bVhhyH7x2zP
lEPGtDH8sTnjPicNAmWayNPo0DveI0ffJVaovKxqMo+J9Ldt5mwmlaZbmziRXRWwnGIfs7Nd/TP1
YI+M7vQzTqI7SwwF4mjb3doNRhD2vj8HYtE+ujn+9ff9ofkVR/zX/hARlOui74DhtThD/3rc5+VC
kZZGsNdiKNYiU+YqICXKWMdj6dwJFCky1ObOKVlVJ81FL0b5LVYFMwbsYTASMpd9LtW0y1uHEzi4
V2bZBZt4TPCNI3v0KWOMpECX3yfTS1HnBswGgs9XRj0MUchQxYNhBG/OXdTkrKNHrEfHxBCd2AlM
PvWhNhwOi7yMTlSJfb91vk4TxPucLNXXKYNTJT2NGVP6Q9dOnkmhTPqtqGt4AZ1ua1vWIOrWKo0R
VAok5VBXaL/rpekyI+RFZhsD1Mb5mUbNdiCudNtJkMaW6s+6LYaTg78TT5M4sRRXG2WiJkrMQKwz
slhCMw/cVU93OC9touI4O8OWX/DWJhsSBMQ0BRKk6hjt6LhNuMYkeRlI154p10GAWyLlWW2qLN81
idGNO9UXONfdWeL4YdAl166uap5uEr/pb0pDJY9yagxwyBWpvaka6J2d0dzA5atDopTBxwcxWvml
9yYxl0kG7bgsanUCYmzfd3YO2suP4vw7h0KDHMybtw5MirVXzLXkC63UXV92/mfcOt1G5uqhTgvz
6OqYmkm/UsaFWWCCXWcpLdv/LDPbbJbnDLXGSdAq3OV+pu08trLoDnttZ6BDuo80ZEGFF8c/okry
to6y6t4mh9MLr4d5Rygv2jFmtOvCMD7sNILBOzYEqxUOygQzq+9TZg0r6Zi7NCsw01bGkdsOYEmn
9XSjlb92x7ra0LrCAwUHSkOCZW46g1L4JmLyCPnkXlPoDSs7gXZTxATHaD4QD7M0nuB4FWHSjfva
ZheTpOUuGK3PWDeGLZDsHxXyBoFFw9gRpHQk22otDHVOTePUZNFrFMNJqMSh6IcP9jXYaoOr3vdM
NbvO2Y5z95mJ0bjCMv/JopmtVlfaa8PT660/4ssvjPYdekJzFEuUcgOC4RPGxXDsXb95yFDOHpqG
Ja4qpb/KssTf9X3zg2KR7GzH+uxtprwaC7iQZb2/zgwpT7bSSJXJ4h2QeeOaV8EFXfkUAmTH8JJr
09ryjGJrwVcMq45dXe/UGJ/LjqUhNquALzuxB+acPqPP1N0Sp9le5hIc90TY5c6zS6aTo/mIin+8
pIR6HQg+YVZiTC7Fh+Fe2UgbDwnkkHsnjzdW0MuDtmxdY2YM6YoYUHkEZ2UOKN9S+2cTpUhFO6P8
hSiMAIIElJLdzQUR3A5LSsIiEJI68VpZCQT3YVTcsIv4dPzSobrjBN3iS53a1whVpSNbfBZAXpDf
K/VLfOlaMyLLmLfErbtyTMixO63GYbXBKpux9OWOrpfbOvm6uMuvS9z9utAtDw/S3v+66PuvS3/+
KgDKOKIYGL8KA7hyFAnuUi8wHGr/JSL7zxXY/9VtcS0hltf/tt0KhXhvW9nE77X4S8/15w//TqkE
cKBDYXR8n2uOrdh/7dZ8/TdICUvfxalFv7P8P3/s1uzf4Feil19QlYRBG/xbfm+6DI8mjtGq79oG
P+qRt/JPNF3U7H/drSFkc7z/YO9MliNXsiT7RUgBDIMBIi298JlOJ+kcg4wNhIwBo8EAw4yvr4Oo
zM6s11PVple9ScknMZBBd4fZ1at6lNZpYHgicvl6fzmFmUeArubDRN2PTsUBTILZQgig92COqoVP
Qb3A0qPrCKbWkMSsp6RcE3TexD0crE7nbSmaEpdq/JOk0pRB9bGi8k3K8rnIRuvFX3vTk0kP10BV
6a1REqa/8aU6tviT99KtSbJWbfpzcEEmUe5ehhBYUzc9xVNQvi1JVZIrK6vwFpK5x+nKVWPrjPH8
GEzUFLKUfk56d94u1qlUqg83YuC2A1HK3KZhhHwY8qg/cMQjelAE0nVbWVKmd6zE2HA6zTyG+nKx
n2M/K9/daUqetdAVZx/TFzaS5G4uG4x1szUsXzxgfbIpEHe6DpPhKEYgME5x4+diBTa6BEV07hQo
rCUm0Qne20O9FPmesqViU4npNiENv3dUKtinGUFXIoVXXp+hF+rA+QqzEItSpSn+2HRhVlyI1xdf
YxBxbhZJGf1MtJW8CpxJq186IqCYSUtwYxJDtet8G0OBW3gb2+UOkeeJOOe8ABgEtbftgny4BSZE
mSRbmZ0UE50NS1sBDafXT2+Xqan2qQc7a+faa8Q2GPPPrPLUL1vEGJtIO9fWpqkG/C52NJP8jfAE
1n5L6xk5CcHPYeiSteM66TaJ5epyI0jEYRYeI5J0dP+mbdxCC+shc+MhynTDWEG3nbE0dK5SESOn
aT09uS1fxwHSN+wKM4bRFlByg8nHN6SDdGxoXkujODsxEfY/MSWN6cEVeiLsZ0VH2cOOInkYzPj9
e6qlpRsW9R4uevvaea64FlnuXeKgb1/SKtWfie2mcK86TqrbLuGtuIUEWf9oSJ99tFEKP5iUFNJ6
lJv6u9NzF9wsQNGLY55X5tmRbnT1PMeKd0s9Rpe80O1VpU0DmrxKIUBEU2geMWhPb63HSYmTxbZ+
9XXuY5dxHPPuyUJ9BU2A6jnBMsNNE40vbVW5ePs7hXxrOmzIJza72EAGK60wOWJMG0uBva/D6J6k
4/gWBWP95Hd6uXERE/ncFvTj4kQauLMFSJAwl23wi/5EHawtiq+ED9f6R2PUYM+UZXOyszY3e49z
n/kBWbnEkIPE65WT/S1htHwPeMvNGC71skr/vIBhD3fwSO0J4Hq3oeittdEWNrJhXlratAWAEPyK
S7F8jAkALaKfyPvuDz1EkFrtIjdfvpwUdijHmz4m5JVd06fTNqHW9gUzWX1Jaak/FchV50qV9Cv7
SccvSxpfaDNpvy2txIGYtB3NNuGokWo6ssX2gsmeJXsNPauuDgW7FWabMD7Nc0qwZl44d8t6ixwh
NhDmsF43ptosQsZvkeBKW3Xss3ZBEQVby+lb+lY6UzcUUqpmly4VfDO6tdd65XFSei8wFQHYY9Pz
i2rx9HWRaXprFw5FNWjYEBssZtl3iw+Kc2gwE/Sbomn6D+XmKU3AVsfUX2TAbzeL8psrjclqPoAE
4BqoKJPeOeQWNp30ebD0fdDfN00xz4AQNABO1bbv7epuY1X0s1BDzgXK8JweypKLcFSshqTe4hKz
RM2r3Yn8bgkF/MwonYZvXpyYixun6YfDZq1kzUvpci9wEfKGRR8GhqhsJpxmkT9ajPqnREHxaDKv
3obVoM8cJWjwSV42Pz0rQc/mSsOGjG7f8S7ruerAxUpmH4JrnreU1IJ823Kr01wiYd7KE5pUGgIW
SCgroFW3/TV7re624yQ3eqk5ZbxBnYwyzTkOsupB8ZNapREff5kay6I7itZt05NWEBq8LOgIiy4V
G0F4M0m2cWitRPDrXRK7yC+oZLw1m9/TOIesewgrOGC8icstEw+nqKyeK4uPG8VV0MUovW4+MknL
M5J9GD52tRFvs9Sw9MgSiotNivA1MkPzTol4eA7zMsE8KDsL33KduA91F1YPAQuSVwrpqSaPSJQA
VCdR7R7m2iFp0GbD3Sw7EBj0iSdvkdPbAFqIPvy2G9sJb/kOUxcLLfFIIiBz+NFNWCw4oAT04i71
1Sn2hM+DYfSDF55N5jIoCvnGWIsDfQ1yNwHxBYJjGWIspZVZKaTJ0jlYjc7wccTy25zbdDFihX0o
KCbcloLWvQjy6VWEXrVNF8e5MkpqZse0eevRYF7ryK13DhiM2pbuS0fi7VqU7CL6IndPja/sl8bW
1i+RawgJIhFQzlzt3uD7w++XZl78ouxEXqXOXrS2rWus6VABUcn4TdS1uFo5O8HEq0n2wB71SZaC
hE73mV1VM7kZ6pi3M02tahOX7Lt5J5Ru/QkMJGaH3iesNWXBCnbRI4APXNRdwtUBqNjyo0xJhlj4
1s226uHs66BsL6qGlEDuM/sOGuJDoTsdpz6ajnHG0kwGKvuM+xmzYDgWTyHUiCO2xIXKp7Q6NLjs
GTRCYe2rkbFv7lO4L6KlcPpO+kp9L9MBS0noiCnc22XB8rQytndTJjUPlxZd/qZPs+6lWUZ9qiyT
otHaZt+thkwlE1xEBYIUflfPPXo8gLbkl4YXn6PlEd4L+h5Q24IgPWjBvWYE/VycfLwLW8SBPU+E
9GbQcUor8iCeba8HOw5oYcBSym4WC3Pw7Prp3GxLKK7HsXXFMQ+n8H5e7KS7rdo1rB7ZaUnLsSw/
6zmKP/q5KJ46ifnDNKUrOZW5SgCkrnFOOhSWAQiajUWzaNJX5TWbvKrY+HguOL8VeyjTdhnMHE/P
38TiswUr5vpa1NWaeEejzDZML+5nMHBpBvaQpG+BB8YQGSTUFmI2PnEvyZEz0SNRMFIJgSLPaGW7
iWKMi8QF8uDbYPGJJFg6PMmkaY5doZyHUaSi2cKBRIXvLR4PQSWTY6DK7iOZC72yva1oJ5KeVszG
bm6DtOCzuiAwXOTsEkxjgThsIdf1j1xg0cSbaEjfU6fD7FGOA65peFbui51PzTcSf/U1aoEZ4q2B
i9gHgCA4tihg8xvDK2ro4aRZU8mf2vMAanWpmO+tIa7OUV3Z9LNGGHrM2FmYMSVYSkCZzi403vzZ
kf9DyKK6ae/N9fCVixIrGJvQ/jAWKVsSNvGPQwFQ5d//lez6qi1umuEjGuSLm5MKGZfR/8aHE5N7
k1X1NVxDFGmjXv2ifALEkLE0TNpLpFKPz2yMyoH7DV+C8mkBtOa621Wu4IWP4yD6xhjOCRLToMDy
0BNASVbm21sexM0lcrR+irQOnsgx1ncML+WlTeby3cIGnm8D1YY/4OHQVlxYPqJdIP17HF8DfJmy
m76H2WzPZz25w3xiV01raFoJpyTyBesdkoP/Iy4TcnWVjZOuIklVbiDlrvqZCSNkhgRbMifXL8tp
g19JEhsghDCFCT0sdmh2geK1ZonjZuIodJS9DnjvDxbF8e+LBcDUjhRpzAF3AWdbOrw5RZQ+sW0t
76uhX65L5na/3D+Hr4lzSI5IBNwhkvhpTuf2a9JheyfBpb+Ycbh1miQJUDOH4DPVWTOh2IcpjsA4
kih2ARETeJ/uQ1jIcWevFPZNms0sEtpyzdkDGqZ1q+/z5WYampaHRqNZp6A6+O924jQYFeEUw4/K
DFgm265/eFYDrEYbUn+90Y+ZGptvhJwJ8jXs7Uv2WG+AodhkT/OU3ERD33YHZ5wQ2lXVJSAOvMW6
KarGPgmZTcB/3dnZ+PMKCFgT5UTsuv6Spa6qj0UQdqgkDvw4RgLqXc1Ia/lkN8WmA/pJtCHlHjqv
ZNe0r+p659ZreiUnCOBsSfvy0gW6PSuVx+iWWA3LnYgdfW3X+oAepw+3GzA1R98G/x36VDNu2IyI
J0KR3ml0guor1Iv6vk7ZHV/BpZq491zr2e5Nf4X2Yr6RXZlvCsdVXFU58LdkiZZtjceHX1lL3EdL
6NvWnuuLjhJCCazqdbzVpc4/lS5NemK5kDxgmuefUBQEiPg85PljH6nfpnMDl48LvBgCSVfLZGtG
oew1dQ6+f5ugs1EYRhSBhGYcPU0ih7UaLoBcy7kPCgKzAxcS4CvA7DI/FLtg8bw1WBDUp7Zr7C28
28xiNE2BDkCIBVxuupaXhmu8raL5Fo+OOXecSJ9ZwUZ/W2VrhzK5LtluKkfirMTLFSMq+t10WMYu
hzTeBqiMhmQtM1sR7Am6pLetIAxk4Db8VKETEIicVLdeI1W9l31qwi1Gm+wmKriXTUmh7xLzJ1+W
xBFBdmm/Kn+dKbrQLzG5c4pv7dAxD16Pm0AFXXzCqludhkK2N1VPafuBFdfEmjUQ9lHlgabrYIi/
d3QKNFtc7uUde9BG3LjG4IWU/UTWe5AjNQz/3yL+n7KI/12PQtb530ciQf9/ms8i/atN/J9/9u9a
lvM3mr5gJCOnB8EqWf3DQCDl33xa+oT913pg1/mbIAyJ+AXx18Fi8E8lS4R/wxpOFpFwHlHG1XTw
X1CyAvlXJctx8SA6LGbxsbNVtv/Cv4WRXRvfDcSR1Zcqj7IMRkBzZAwZWaX/2c6xeHRoBds0dQE9
uVjQPuxiDrg4ezwUR19SK9G6GZE2bsgA8JptWr/2S4U2TTO8lIW/S4OmvJFcgb/SrO9u7Dxz1xV6
YmXbaKn4YJEigRszq7DYhjIjalk6hNlhuz8It27ZAXndKa96vouAsWgD9WXCLT5iB6jNL2xUmIS5
zdLaqDKs6ZET3ttdn12SUGDqFjnXWdk3ByVIcHidyvZtl4e3uesQGkoXs21gqR0BjUQ/c0LearM6
Dw5OG3tHPff2s2TKeSjqoDmupv2dcqdCbrxuXM5kqMWOWaw9CADLsCvZV1BpIUjW04MG3iwp86MK
WbtvkmGm0CD1AHazHwsfxzJP4DLW+jqEXv1lq7K59wqCgkvwvYvsu0VnLDa88rTM5WUY5O3iz4+p
1edb3+uvEjoENw0KCjzZHVyTHXEamhsgChPRKysoEe8tVcM3mqjFS4s4eOlQTDGalUNs7xwve6Tw
7tYUUwiDRXm7mAkC/WVl1aQgu3lURQaOXdUL/cmdboYBYuLvUT75N/kS1teldXiIL8IKqNalRtfk
c0ue27LvpjQlcml3LripsCvwd61SX6AmeRpaQt9l0g+vA9YYh8Zfv1Cg6cFTuJZzsWVo3WjB/qZ1
uxgBzqdDlndau+mrUX4bcSzcwmseiT2mGNFAMs77GMzbzywYzd7mXXlCfMLJrf20Otrar74PRJMe
JICKTUmk78vU+qMLZ/kRRYs8cjUunhR3tyujRPCms7Hc1DjSLthV5QWrZII3OUh3pp0usZ6Sy2BP
1cE0rnWK7LE4kjgUjxzQjAATWQDMGAXvaL8AAubEPRUjaXFXThQgb8oCXCRQUTpVcCzPG9/J5Vsn
uXFDJ8Ampptsfp6yZLpRY+tcucT13j7x6+HT9cPxHBeBh3uvzUlALN33Ebr7JWZ2P0VkT15aO7RS
PKB6xACYm+8lV0uzLfKlbbbDZPnNfWTTRkChqrIMTB1OPjwX1r5wRwLN8RjCIqTpEVOuxZep4M5c
B/bzb562uC61Fi9FU0zkntqELrZNNbj6lmt/s3VJcJ5lTmTJgtjzwOMCr2KRiew+TxlcwsWjxKRb
usuAV+rKSY80R+XM/Bwt2jl7RdeuTiBH/yA6njzY3QwBVji5gLrTgCCc2LhtXEdat+TQGqZcZ9QO
X7TKHwQpurt4WIpra0Zi2PFU7bvSAa4YetNJylEy1MC/fgzrMX4I2YBdaMPAK1pDJt20pC0PIYwZ
syERl11EHsO40nNwcdJ2urVBhh5tV3SXyq7HuxSV9TslxQAaQQKCgRPza41bOdr6XP5fKAMXdPAu
+hiPkGCKuTHPPlv6XeahLmelkx3JrvDZmkdV0D5ajo9h70yPs++PBGG06bZ1RFcpj9Q9ud+T1diG
VPCQEkyI7RN2pOHcSau5OkGkrhnYpbfGCkb4prb+NboM4ptl0uIUL6H1zF5NPAyt8N+cuLHYZNcj
7m6KdDcgWXL24jDgmrUwpgI/x+J2rN98TZONVU/mLUt7PK8sHbtNCVFs77IfPOQYJY/rLv1gt+mI
ySFpYfQYBmQLY/azJ1V8SNOwoxouHOcbTR3NJVHZcpxV4B/DqAsBVZpllzg03uamj96Z4OWhaUX/
hKFiRWeaeHXzyvdsdNRRJSY9YBpt7kXQ9vfsl1f4Jj4kfHbqO5kc4tKhUtc+GLIjuxRmsYXFQYG3
d68G4yI0WDQlcVNr9g4cEW/rl0V6LrhznpFgmt3Yh+bGWxx1ral135Lu/SHMFKLAt2cKXXjGc6oB
Bf5eu/S+4wqWT3ScYwyd5pswlckLhSvDr6q1Aa8adzp2ZmXUyl40zj6YFyZFu0xB9xqPNIQ1u2vt
kXHrSy0p/Vg8Up2mx+BVhnTHoysDf83XPTEwC899N5DafCT5O0cPJ5Xg3ZFZcocsZU48qvfOzDCv
ctWcsGGjgBgHz9RUVvXemA5uGHx5tzwXbtfiDAkJRqU5pS5orT1o6S4vb1JS36uJKqn2ZsI4juXi
O+s0nsy9lvhpR3dCqrf98dm0y8ycIJa9aEb/UEVqeKLS2Kffhm3OiVAmVnhiZ9zmp2gzktNcEChK
1bdXhJj6q+7dAtyfqNdlkDpPNT8e7Po+ohZ08GWqvbu0rV08JDEqWVvNt84ojp27LCegBsuxAiwJ
3z7+ya2dv5YmnEm2p1GBFQ4r6wSFC4mE/glfxzeYMDUAa8t9gmFLfCrX9jM4N/iNxgL7lsoKyyFM
vt7d+Knt7dgsUE/TZ/R2Cdv6PcUmODtk39/4fDQXXHX9yV1IVjP/6p+K/vlTKGqsX6Je2Gv6wFDT
6hoXAIkJni37ZFDxMy+A4meKL3LTFARwQjF3e69t0nsnwTLOb3TR3ScMCfair4D87AtmG/U+Eqjf
D/Df7C3NsNBTR0GOTQQdkl0U2NFvZbnuNiaminxReJizXUN8NgnHbE8aLPCOAfVVN5VXWWg5RUKu
bvKALE5TbyMiVwFUyqjST9wvsuquTCwr3VmKhPyGx8A2vbFbZwl3omny8SGaJnMeI1M+Uqid/VI8
cWDRefT8lBPd760bZK8uc+g+57pLYNZxCA0NBMREtXT8t3RPKk6zg5sLEso6s7ESrIp4KLKTrTKx
7yUrF9S4B4sdU4Vhmi/Y3hg96V1PAHgT2hNDMVcLBviCxr92nH6O2TT9Hmvxk/nPfJfl8BnUg41i
5iX6IbKS4AThFGK0zLJtpd3xIl1DzKu2h9vFE2anY2RC2YLPHEuOp9bu3bPbhC9iGUl7iLHAymCF
1OJV7S5tpbMpa1rO/dKvDmlLRVteVeND58TWMdZYMZHKuuPoOwGOO9ISAeLwT1Y57oHPaHKs0sXl
ZejVS+br4C5zw+RqYyaBzTt0BwtkMFzRMnhOqCK5uBVH5zYXS77zva4kszhEyXm25HBoJSKDIZT3
5bBk3odWHV9Vhj5jj5oyNh5RJAZy/77XtOlYZUwku7GSXVy6WPbHkL6hFGHe3y8lbnu/QO7bimyU
+zS200PeyZj+H7oOb1SkvVsZmgEIx0SP7BQ4z5RNpXtTg77qcQCdfNpJjsU8Om8IeZrUXOueimAY
b7Iy1lc5lggffcAmc4VSZ+9+ZrpTMxb4XcHW7yaBMuBlldxAiPLeOOiYuANDiwrtNGLvjWFxzhwV
nmQMV7ZP6up3WBXhXdD65etQVIqMdGXv8YDB7i9gOEU0Mx9kHts31VA7O6+II46amYA1twGXIFA1
XVq7e0QNOXBPJd4nl3wP/uGbFetdM3rp/TBbH8R2UvroNSnECiZUEBqoZZqhpQ5ku62FPZ1rP127
IMlDbiYvG/f9um1hiLf0hjcGiprqyvHJLtgo2N7iA0rqYv4FrGPgOMTnf5ks/xe5MOEx8f1rmtf7
65zGEPmvNm8LUEBOm1x6Ys/HjmwF81pDJFkSh9lB+Lley8Os1yYS00voONH7HA71g0iX5DacRfMR
04vArpILPvAAkRzTfq5fJjdaDrZvUZYnC/ZEJrKu1WBEyoc2g/Hp8QqAZfG4SlixyN49GCo0qlM7
tI1FVx1ZCnh79OvbkEqjH0mgk51rTZoShLI94XF6o78JTkFX+/uYVNS76HuSFY5PBKaJMLCta82q
8P17ryxgKpAv9XcKMzrhPim/c1NPjr6AD4pg/6kH/0pXyzO9D0BlC/g4JOnmnb+k8+PQVxeQVMsF
06LkBg62jP2tQY4thjQNDuVkFh7bCc3XoqN9jB3juhidFZfC/WA5+tsiVAnlMQsLHrFpMFxiKeeb
lM29yypABI9at8NDWy65dZh4HJCTKsQvPHDZzzpeBizZFjZjZOonvRRkV6y02Sxx4Np7PQ/Brdf1
1skXcCjafNENhFiCuKB/7OnX0E7vbbo0LDH97OAZVeKYbMoDuEw2/iwNNq5Zsrt49MOBHLPpJBVs
rKl6ysT2EDKzh6WoOKHRfs8x8+s1AySCGRKi3BMf9OhmiqbxRmiP2BWLCpAYc/sbWxxXQTWO00uq
Rh+3A/eFcRs2UJW3oWNpaMzcs4c/V+7yz/VbrDdxTmEu5Xk9tnt+kOJgM8uXG3sENOyuN3lyTTyb
wvV+7/y56QPSQX1d7/+jFXaXaJ0JinU6oMOPso5yEPAREit8aPOR+kYdtS9qHTDMn1kj4GbGw2gd
Qdw/00i/DiZoaeNV/ZlW4nVwGQ2lnPhaxRbUbbRCuxtrn6QWRVh/Rp7wz/jjSEM3Z9fIidxQ4Jwn
42NB92qwg6bgjRsVAN0SylY+2TBgqiUwsRHV0F29yeTHOSS4zkOMeWtpluea6NWutOonS2TZqbb4
gblWrZ9IkXtbnXFTtuYWp4/mKnyWE5jNIWVIozkLR1ufU2iVhlzDSHZ1ERRs2/kmGt/f9iT6r1E4
yreG12CmsIORsViHx+LPHIkDoLhLiw6lgCHTq9aGyT+TZ/BnCo3WgbR23OLYrENqv46rvRMkl4YJ
tl5HWTL/vOzreMs3uQ66jLxmHX7LdQzGacT2bh2NfSsJKUFtPuiULL6CdYDu11F6WYfqah2vQQoy
aS/r0J2u43e0DuLzn5m8XMdztQ7quBHFbbcO79M6xnd/JnryYjHsX8b8ZR34cx7SKiYS2ZHPVpv+
jzJQrCJBv8oF/iociK6Pdv/nJ+qfIO0/jdTy7w9U7oZiVW2k/5fcTGTYtHhE24/YXZ6Xd/e9+bTe
m6fxvn0ki189WOX9/1sxdQ18/dD1bLK1/OG//7e/B8DWxqH/8B/7PwrnY//LzE+/Wqj5/9AH19/5
n/3Fv3Mv/u+mv9AV9OT9y8/+f2pAevkFSSP5rD7/4vj7x5/8HyqpK0QAMzDg78PdjlD57zErVFIi
VKiTCEV/DH//0ksd/Y0yQ9CmvocWFNohp+I/HH8+MSt8gqvNmrCF/1/rQeJv/Mv5G/i+6wQilA7w
Dpe81388f7MizFo3B1bO7eIpIJxyUt0EgYy6yENkqfFXDvINSFMUnXBQzVs5lcAw08A9UWIHqRbG
sL0foJyxl3JG/7ENRlZKS1zdkN9gUiuLiQx2EtxxZwR7GEdgnNgC/jSwZw5LOeXcYqe6+yI0bbd3
+WqO3JgpC94D30nfOjDEd402ALx6tjExQ6Yd3sppCW/YxbJ7pYg3Kk95bmPySLDf9b1nDUSBxh9x
thja18Jb2i6H94Dd+dbXtYDP5ATZshlm6Z1MwCWjsZa62CrjoTNCwGF/jK6yrRoEY7BAE/hZqius
CmJdgkti8hjKyJ7WxL8tsv19HGbVccIG/cp2n22rTfkR3Imsu6mjPH5ZM8XIP3AFZmLoQXo/42PD
wmFNzJhYr7IHCHTDm6n8rNgTFLVvJ4qZN8M43zuzM5wypx1/aBs7geWWbcOGtG0fOB2YdxjQoV+X
jv8W26N76VzXekkLab9buqJiKXDlcDM3A2thTPZ74ybJz3Au+YEnwbR+49hQ6oLvvU8xVOnQnDSq
6MUuM4AovMzVV9DX/k3LaGk2FDkKvskwQgdgTXYsIBQ/CBXRC1rIed7FxJjwOlg0AiV+gIRBNSQ2
PQdNAujJbmhHqG+tzVAiWOQR7nrqp8xiwE4GeCzNQguo5ec4mFhjfyZpk59HwJ53vKH6nChOSF8p
6SDEwxJNKTXRbphaWhVtZ9hFiwlO0lLZW81VdrdMULI4Zcony5IKfAUEOy5kyVFj199a3eg+YImy
92WYJyfuvfYtryi8VKtFSV8K+3uzLMs59UDDa0aZuznnjWr0KL+6opoOtju1N4XGmqiq8KVpRgyv
RpM47tNrUUzjVkSmfsXyAuS9D73PzOnnW64u3pZcNW1WXLBdadpvbGs/FMvejSMnOB3NACxl6BOU
6a6iU5ac9rOiBcLAl6sxxPSpf4ZHm0h6mKgMHjf9tI7kPTM9KXOgJdROot4z42UvfA7kXeuo4AmV
LahOdjfl5zKl76mVdvjidbkudtp13PDIb8qyTT25CrS4KedngQXiRDDcv7f58WGXY4uIxhBlzFQu
VkylA++tykPv3lehe3Kwgkj8DDqmmIAeEXso64MZWSajn8Ttl10ifPGhDKMXWTm0eXYZD4okwB5I
qCyYr2QpgE43sGXW4Yc8+sJoWRMIByNLrfbTFIakrccZeJ8bBcNHneX1fZZ543m2K/++oAbCbGBe
LPxNRLzKoXeeIsH5Gi4NFD7wasNLGE3itVdyPAXjNH9FZaZeZrouDHpE7n3x/s5+czV2Xfg9DoJA
NYv00yEbRKn3FAL7i7m1P+QeltjZVsInkKPc5lDovDmOSdNVONni9Fj3RfVAwMd9GRRsh9j44rlQ
rXsxVsMYyQ8luLIncsCqBahGyLGJd+yJVD4sY+48DiYJwMFQIdFBvPmR8xbmVY1d8UaJeHchh+rS
5bg0pxC9Akp/Gd5XlQJAU5q5Wq2tsX0bxLVzihoQAr4z5BcnLAoqXX3fmZGMkDUsbpgUAAUluMzc
kfey6NRjaBL7yROTqDfcpdwUDvkoX5NS2e6259j+MS700dnKbrfS5lq5NX7DwBiecxpf+Mznuuk2
+FbMPrZ0Aa5iROUmZpaeXSTD0xhV9wSHUFIdfKS72l1xxlHnnKbQUY9BzvXc54O7Jx2UHQ3/swEJ
Uz23Ax3WXZsRJs2iBxDhyV0xKXwjbpTd4baAmCdA7DWmG26TQImTxPH8VSxNcTcMhFvzKu6OqfLl
LcXDvIa4gC9x1EAf5Zq65VlU3VbznC9b7ffjXir15bSlprnCMifXq4JvTDqHIOy/5QEpHD766Y3D
0jxtBEJTXgw/PY3Rs63lPmiteZsiiG8HTecY0sQ5s7zm6Pc+wEcnexCWJ6n/CKxHh0TvacbDDko4
Pq9zG1W6wWQj8lvzOyZVehViJzGPIvZchLXEQgL1xI7K0xck2OmgfDpXsVy9l/Ysbsoad1Bgsq+c
lu3yLLgSko2OeqCsiUdfGg3h06GLveHJoSjijoQdRGtADfcGPrkM/e/9VJ8oNiZ02TJH0mjcAxok
IhRqcXFIWocbnQJB3wQmYhQZUVV2Wvb5rXCrEOGsXmZKU8DQHLl083977akjGaWzKWIWeqCWmnm3
pDbapBN2swLNMtanwZSfai7VOSiD/sNFl4q2dJADtZm7AanJwf4AUrN5arrSHJdmDLnLeyH3hGHq
bxUdUepADishmEkUfOkt95fqkgGmuxrIqXp1l3KZsZISUmqfYd2qW86BTLR6gi5DtmC7lHnwoyL7
+yCDbnzIChzKdUWoUrLY3ERRP29LV9xpHT7wzwpoCPRhUbmtTRVhHHWEIiErTG9xnP6MeLt/LH6w
49pz56esGYnQrf6RuHlCCco2wLiVS+dVS68apIaNjRH/kfb15cNKwCYmspzOuWsiOBAl9hh77AhI
RWYEJFH4Xy2j9feEL7xJHODfYcSCWSlLHpDezauWmCuSoKTDRrbnwKj+Wudx8lb4+HMUbq/fri1L
tFivPgi50EQTlrjjTmUHiGSsIh93BTlgVqUVVSbY1KorZ8B4pAJhuA992hIFF7K3bJHFeWqt6dwI
ijHcpiE+q/yOA0n6l2WoKNNACyVyavhZ+TSe/2Dqs08h/NKd6y/xoVXAb8iE+Udm5CMa9OscEKTv
/Gwn/RGQLWw10fo7aRPFDBkrceSCIe5HAwQJjBUl91iNpmAvaHllt1aBcx3JuQfWLhDzo4VQedZ6
9G6KevZPGWuOT5KI9bb1uFL4rQJrEVb2oe4yTGKLIB5p8PMGC8tZKhrGg6rb+I7MSr7J8AUcalYP
uyE2Wz9zxX0y9LdCzL8dp00zcGygithVB/7PnuY1FLK52OCKG+4jghWHfyPvvHobV9I0/Fcac7FX
S4M5YHEGGGXZsi1nu28I2ZaZc+av34ey3WN1OmeOeoEGVpcORbJUrPrCG2KnyU7K3nHniBWPxKLh
VIGfXV+Xdl7edCqiI63X1rNGas9EB+Q3sirFRHR1f4JoUDwqUOedBliWYPWdWjOFrQzZX6V94J/q
lRcZ/SNiMe3UBk87U2GMr8Q0UIYseyDN61UcjNPUM6CRYhKnUbpcxJ7qItFlGBdpzVluVyka5pkd
nCP9ghyb3dsXACnMVSTGwYpsHv1mNw20NW8oJY6U3tGKPCS6iB1Z2/ZiC0OltONzpZWlM62S9eMq
D7Wt5drWqY7S18hrXO9KgdlKW05XEUXOYg8FpKg8ZdsMlxkW6xMS4CcyYWthxH44cVS/OitVyXxQ
1RLnAErTMeUcPyUuUnya/YjEEfl7irdMItTeoJmmHbtH6Y3gU8ZY/CXVwsoNHeVQo7uEG4tSDeLH
x4ln2CgBWvEx0IbutqHHet6irpDohr0W7TR4aEQzWygGpjhdoMzBG2Dp4vgZgji6NI1yfDQ7V0rO
csPnpEttB6ljhYYPNeBJZekgGaJAu4MSA4DXM7Ewq9jwiB+Te6ShtM9WHAbHNKVYwHmhrkypTA2Q
pVWVIpHtuBeOjMZ8VOk4IKR9+2R34SDEwrlnmzJX7nCyLgzO8RbC/QmNrBu9rFGJFWyiTHxBJjQL
HyjPY8QXzGGOpkspQuawhlvFiUqjRSHknYhahWipKExEkG4T0izqWGnz5HlNdR3Qbzv286ZjWdf1
UtEkiapOFU7lIhAnbRTYiwbBZUsErIIwhL80wmc6OzCPzBRId8JQhLAihbIwf+oEtzsJUebFaRYS
/UxG4h6aRSNOzYSsL+4bpk9t1HNBM5Ehd4N83VQxIHM9SR9FFswZFiOIgskgidG6QENXQjIbhS3a
YkZXInEqYhfkgCiwba8gXvDDTSBZPY+Sov2L9tYTyZgMZyWXJr6NYWptldkNkM7mEoAbGs60iKWH
2EiEzxGm3DOUL9KF1sKQwfUmTC1YTxFJT2lK6xxRDdwzYQuYAWYftWUFMzPtaLkAjtd7MrnaG6cF
35eGXMF9F7cNK6vR58lg8RHb1akC1l4HFW4k8C70Cgh97ZkvFgE/oj2rNrYYH8mkto5RPUTgh/BU
PA50ZHrgW2yzpl00jnVtDmwJXaq9tceRCCE47haFaTizTs2xJFKSchnwlA+geusN/HzqVQie3VIJ
t1YJPcgngZhpIADHWH1RGJzz9ahTmp7GqdKH6QrCXvRgmHZFbKRpy0QkpK0UAXAmqkzCFGU4j159
r7U5qEKhXWVxzBYPb9qaAzqC8N0A8SDUT8yZnfsmiIcOorddaIA3Q9v4bOmCTs9MNIPblBBpmlqd
dQbCKLzPqOPOO1ixC11W2o0euxFnR4AjaFh1IntZ3F/Q1YOCr/XthVAUTTHCu6we09aVkac2+mVP
peLSitDbczrbmwNATe9xncP2tS+UpdGp0VQPmvzULGWxgoOd6tOqlERgpllyUWqlLgzF5nyL7mJ9
LcRoT4+QiClOdXpc06bqsGgLOtl8CAtlaJ/LL14QI0DjujbdYYSd1pQ6MWgNFe+WjaMcY79WuZNU
0KpTLIDl4xylZlrlXXSPeCaRa2+E65jXHXvNMDmz81o7CwE6oq01NKUTN26ofUZysQ7AlJ0TXPvp
0MvpFrkvs9VkHKKXDlRhxE5dLUTBIjLngdTnV35KDAtpJYgWEXqqE4ssZiVThx1nITZOukhvJ0G1
Y9wVgXOr+qY3t3NbMVFYqP1lE+uI7xfAviLCs2OIPs193Suo1xCFXlRyw2nS+8ptBEnw2Kol/9Ex
Ks4iu+nPtB6wyAi9dWeVqzDy46JGSUeKoTf7obYU0xpaGoVlGaKAr2ubWhVcCCaBIm5ApAUZxYO+
vVOD2qDW4lsFhYdSFVHSspIKG7BCmiqJSbab2UI/g0QDmBzwyoPb2ultbWR0AlOVxMCkzNqZcnIO
qcK80Y3AODZzeDFSVWsTYL4RRpUdIZY/yJyMEGit78GkIA4r+u65DXl1ntMvxgGlCfSHnqYoQQMu
xmVqhicCgv8nkecPLsKVmk2NzPbXfqE7fLXmBhwOOxgwu56i1UzsyMF5DmksZ4Caoc3qNvCRET3J
AMX7ofYgoeS4wOxLmuRCGN0ooZgdJ0FR1VOazfojJDEX6IdPuGQFOg6qQGTQtlGk1BZxRI3HPDXh
LZZlV57th6eeSpMDKjmGw62K2Or/+9IuLg4wSCDdyKqkUX+VBv3gH4NhJ5vnfPMJKOynQTo5/7TY
1NvQ+/QvfjDZRJt496uJV32sAX/3Eq/VYENBW9mQARepqFoZ3MaXarB4RA1Wg9+tvAJgwei+87/F
QalLgigG5VVWQUd8qQbLIhhcFT1ficcZhvyPvEQk5etq8MBLV2VRogYKcYyy2H41mKVNRQ4sOvC5
m6pLTq1raebMaHsgyIGGnemPPbzEi0vlBrV31EGQjS8yb+ZFdzbW1R4vjlmr4Gijz5YNY9dFfQ6U
ozCjFz+vSTTsAu8987Frwafjx43Q8l3VfJa9cip04D/E/mooMjVyh/ZMPlOEY8TVc0jJC4CeNaH4
M6o2MBRXHTCWuDlNcjyu9RcqK7hDEbcKxAw69GsgQhaKE3UUTzooz6HbzSMdkS69rQDUYAAgzEXd
z2c4YzjjpArPWizSLPLcuHkUrfimKMWLaLCn8hzDHGkKnlCFgRN6/FSG57qJXUIF1Yb2LQBPB/4c
TVGUURpDXkNyvHJCuLdKzm4gLwQ1OkZGKYT0slJayR8XaXpeVDmHqENNWxCmui+ugfihN+P79L8T
mq8w7+JMfRDZVviapjXmczAURr7dzNQi4OzvxjnGCL6eY1pVnCpeuS51BdVX5Skw9HWbcK9N1+H4
Jsm3rdfdJOyeFGunjgppleIdDs+6gUk2wAyYv97aiVIOSDKRkWp6Z1nRIC5/+uG1+U6nX/qmMTW8
d6IhioYkGaqh7xSAPgi6gaMu4Hnjqtj20Q31IERk1GLd1toC97mpJouU7wz9mFLLPEzP6Y/NwV2e
QHyuJihhoPBTDKU421oOJo6BIM68CpdpHwpcZStrpU5QdNauFFWjkesXk0zxTrL4RKzUeZ7GJ1I3
kwQTrBZVLq+/0KhMwZ5AN4l4hK8Qvu2LmmuXWvBAeD2zK22MoPjMwUEco6kxMChAFsokQdOUGvgE
3biJkwuLtBfXuZbPakVdd6K10jmNWlg9Vgvkzy2vfaRNWJLznrhB+qyjAobu5HGmY8mcQGMWEofj
yGhdVHXQderiWVp7KzM+NTLwTcidUWR9jMpuEYYi3lWDYqlQiOOg6ld9i6ObaW+6VJslmLdEDIjI
EC5j6J8A+1LvZNlBJu5azvPTHMoMSj3Xcfu597X2JJU7mhjwRB4yWwE44ULN8pWpm0pzKqIQbXQV
2WNrkSn5MxkfzMyoO3cQwUWvJ9GQAVeqkwwqXKr3n3++TOShPfmxfTmsEmjVighxUhStHV7kwyrp
E2JFoIfYBSTB1hGqO5vps3Ppc5a7477O6b/nl6SvZ31VnztFvvSxkKYgPJIovKAEZ4AvtfwJlTn0
36xzV47Yu8rLAu0HKDHB2nfrl1SL/2R1U3376r5RPoRrILKBc8BgFfWVt2VBepQSG9nTzMiNEYoZ
oJu5YQ0EX0WIR44MYdU155ByUDfTFwIAvFGGkbVszNo0nmdu2HHYYziYZzAVUoSpTyScHBNAZpTc
5JGsk6179RUb61wJ27XnV1epIN30ANKjXH6G0X8VqcWIuK4kmEQABuQIF9bLZEoVna2xll/w88Z+
piyFFQR8yiA9pPIwbS7dul43ZnWS6sS2nh6furXt06ywPqPKJI2UoL7WpfC8DlUAGlr6AhvLnWpK
et2UwovlKpiie/oL3fqrQvfvEWGa53UB4EN6SUNv7lI0sGLuwMmWJMKjHh0H2Mu3TYTNnkmh0sgf
G0SzOhCjSdRMkeh3xAZhc3fskV/HKdxFEEKq3SJTXJ6Cx1oXJadHKsqwjpAMk6CauhW1WmosGSAH
PVbv+yC7cbz2vALFN6krQKpCucBzbpw54kLD1Upzm4UIzBixwydbTK9CJJUqGbo1MKHc1ya6b66d
WFwi1LpuVMCEoXkVSXI9qiJ9UonW1IJn4cE4dlxxxle/EqVw2tQNp4x3B7JwgffbtDQgxHbIla1K
u58iaT6DZT4ODarcxb3fXwGlGVMrn7jViZUGS6rWdzlTOO8wPYcrh1QAWDEz6KduQ5EfiMEL5teD
zNkaQbEJnNKHDGOhEZzTeCGjuTvuFcCUvm6Ud35kXCQ0nXCvztADaBqsQmuQ1v5TFqrgnMlnzGhp
C9adWqCGJCTPpoNFORSXUZLYq5jXEIm9ZF1mwQLG7sxP0itS3MvA8U9UGe8RcECjjPoXSD2J/y8n
BO0z8C4T2yliTqZ7X26wAWkXUeVadK08ONslIa8b3zuFtmpz5TZE0XCk6fdan123UVVOWdXLzDZe
YEWe2JVLHgYmjc6yc9JBE0VJmF5j7pjhVFP7FWiKEeT0c6BV+dzIxY2KAtsUFZbLROk2QUZfE9T3
vRiiwUtOkoyxKl3nanlT9+ZxjecjGiPeVAiWAchyKEZ4JEktsGL/GubofSVXJyJeyFHbg3uKAeGH
ykJo2kkrimu8xyYA2W+pQ47MHEFN1brUK+HUCR5Id0bA0cYW7Oui9i4w7Zp2rHbVT196DxUJZqxt
rau2G+p2WLCX4MKk7NIWHuuAEkEvfm6RTnbkdiZV1pNP/Z+6X01fVbu0rW1kcGRYU1U4y82zlBqc
ch5Xl1SU1zmSa5WCOIFyWXdIxvjmTdQW44CoIwHIGusK5d52IvvbwEOrvDGRe7s3rOtGg/vYorEd
Up9wJ5L8UDlXhgNG0cwxv7wYtEqcormkPcxyEWjSQ2j00pHbr0QbjHgHrZszytPVJRB4jbQby/VB
7YDz4VxqnqgzU95Q7kvUePSO9zqQ701rTXsTguOFOLBx2SvvMlsO8ILXJo732EA9iqqX1k/GUWo9
tooSzqy6eMThZuHlziLwJGzKfRQQLRfP+cTCSCLAhMtqJnKH46eVYM1LL3wElhDzKSe69TqE5Fu5
U5+FXJboVMMTUAxz1qBhjJjMtetkxqT3pWsrEB6SrrtLgv56cPfq7RKDJNTyxwr2YEunDMIpvYKY
NlpcTeomfkqqfm72xqIEmYViAOJ3QK2Jq9or2kAIzYs4iqIhEQH2K1EgqWiK641NT5fOYa8bj1Fd
H8OW2eJte400TjrOfBlIA9LYSUFogsRKMLUN+qYy0jJ+XV6HSk9oR3WjV1doLL8EYjj2pblT6sf0
sidSkp8GTcruCxg90846vNPB8soT1VacGWRyAFtg4ybwOjx0gnKBOrlVTvE97kb/7fa2HKJlhxu1
Zq0DGgAjIrBrT4zu4WTS6kzoBDmFfam40jFz401tC4txObU7VPXQpDRinKZEFO2oZehXvyofPQBE
9AFv9A2KCDgS6CRnmwzon3XixeV18vf+6OcD7cGSWDBxOYCccPmOPyaWu5h6L1fd3dIOEvWzEcIN
3pbV8/aPf8h4WWoyCldDcDV8yD8RzXfefm1YR/CWkSBTtNdfv6qefZihH83Bzx/vW7zWt+PsPcDm
OULF0SvK3HsqP06BYsnc8l+Zg6+G+DAHaFiT2WqSprw+JAWAD3Ng8mvR0smpXy/0Gz28JFK2wJbp
0AkwjzAMhaMAa3f32Z8AcGkQZ1X6vxIwMz6Az5jw32geDEuEuXvoNEjasNhlVhQCervP3jow1CMR
6Kely/Lrb6mV/F7TQPlmAAYe9jJYmHOZEuri+w+vHynYeKmiar4ukd9yDcjKwXuBjJ499HWKa/vP
Lx1hUoM2PgvgfW38Zl/+Gx2f+z5sAShHOpxkvNTQexw+lPz2d0MNbUkFvN7rr8nXf7eJAKF/4CRI
eCFIiBmo1D6/tyPqRwMalwPjbY5eccG/0Y5IuXbwyTtoJUjikQoG2DAMRvqwBAwdzVJeBBVLnt3n
tzsXgQbIh26EknUE1hqLbwpQP1gCIvAaSvevn9/vNNgFB8rB+4F2hK0Hb7zxttb3N0YszyEVIM+B
oePr53fbDxTaIV/rm/wgTP5xiDi4WSpsi9LrWhD3IyS0esHdE0i/75m/3X6gcOuvK/Sr9OXbXOHH
k4ChCwuBNhXb64f9wDSOaLHrFp7z//Gr8Be2zC8pF2KA4fMu2fK2xQfax5/+wXsu8u0AbznG8vmP
fwy51N4fDpSQ16G3X6R0/rk3ObsQ+MMv30Pi3XXe/v3tAb+99N613p/q/YcLb5tv8icXu1Iyte7t
Ns82ESkbrUaXFuQ63zxvC/djLoTiDi/nv2/oj3/s3e6H4+Cn4+dVvHlyN+H3LgFf5Vdcoig20fud
DpMvS0Nd/9A7B+awyd+HGYZ9TQ4PHXaxybuvWT2vkfbBI3vRD2daUkWFjObQSxxvELX+9F+bKP2f
Tycb6N/e3gwRwlhsVode5WSTxxREgs37ULs3St8FYgePzasQfjXwLrg5dODVJijczXOz3aZ7t21g
cfX+g+/ywr5EVT97jU43z273/dd0sNA6/ALnzx63/z7O7i2i0/QLvsx19Vw9uds87/YG1xWJU+/Q
SV9Xsb95fB9nd9eQYn/BXV9u/E1RIlK2NzbQil8w9pUXBN7ehkU7UvsF3+H1JvJCkCTP1ce7JrnS
OawPneqdbtv3NvG3iOjQ8e+2RflptIXyGL7f7G7TfQ01Dh39dMNmzoZV5ntr/C20P3T0eeUz+l4l
cSgi7QoIB4+d7N3xl+LUoeNy8H9BGJ15T8kj8KNlMbi3Fx/nn7xUkn7Fqv/XzwIBSo+itMNsHPpY
p16f5PvhwDA4hnGkcIcOfp0Ptod738fb4L/g7f0+Fuz9pndH4PAgZE7vP/v7x8mANhu+6veR3kan
/Iuv4sHT9HN7yC/h798LKE+3DtHkpvv6Wxju/RcEk5Nt6HrvU/DvaRmq4oeunh8i+lhDQ+FdOvwS
40FW0/vGJ+Z1/F+wbv6KE82B3+9f0Ac98ArHHAU/1B/9BUvoT5n7B97/avOMfur7YhnW6CDLIMr0
lWRaDoA4FeX/bD/6O9jUnz7v91LaL+2gbxPd917f9/5tP4sf/uIp3G7yf/4vAAAA//8=</cx:binary>
              </cx:geoCache>
            </cx:geography>
          </cx:layoutPr>
          <cx:valueColors>
            <cx:minColor>
              <a:srgbClr val="FF0000"/>
            </cx:minColor>
            <cx:midColor>
              <a:srgbClr val="FFFF00"/>
            </cx:midColor>
          </cx:valueColors>
          <cx:valueColorPositions count="3"/>
        </cx:series>
      </cx:plotAreaRegion>
    </cx:plotArea>
    <cx:legend pos="r" align="ctr" overlay="0">
      <cx:txPr>
        <a:bodyPr vertOverflow="overflow" horzOverflow="overflow" wrap="square" lIns="0" tIns="0" rIns="0" bIns="0"/>
        <a:lstStyle/>
        <a:p>
          <a:pPr algn="ctr" rtl="0">
            <a:defRPr lang="en-US" sz="1100" b="1" i="0" u="none" strike="noStrike" kern="1200" baseline="0">
              <a:solidFill>
                <a:schemeClr val="tx1"/>
              </a:solidFill>
              <a:latin typeface="+mn-lt"/>
              <a:ea typeface="+mn-ea"/>
              <a:cs typeface="+mn-cs"/>
            </a:defRPr>
          </a:pPr>
          <a:endParaRPr lang="en-US" sz="1100" b="1" i="0" u="none" strike="noStrike" kern="1200" baseline="0">
            <a:solidFill>
              <a:schemeClr val="tx1"/>
            </a:solidFill>
            <a:latin typeface="+mn-lt"/>
            <a:ea typeface="+mn-ea"/>
            <a:cs typeface="+mn-cs"/>
          </a:endParaRPr>
        </a:p>
      </cx:txPr>
    </cx:legend>
  </cx:chart>
  <cx:spPr>
    <a:solidFill>
      <a:schemeClr val="accent2">
        <a:lumMod val="60000"/>
        <a:lumOff val="40000"/>
      </a:schemeClr>
    </a:solidFill>
    <a:ln w="38100">
      <a:solidFill>
        <a:schemeClr val="accent2">
          <a:lumMod val="5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microsoft.com/office/2014/relationships/chartEx" Target="../charts/chartEx2.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609600</xdr:colOff>
      <xdr:row>4</xdr:row>
      <xdr:rowOff>123825</xdr:rowOff>
    </xdr:from>
    <xdr:to>
      <xdr:col>12</xdr:col>
      <xdr:colOff>0</xdr:colOff>
      <xdr:row>19</xdr:row>
      <xdr:rowOff>152400</xdr:rowOff>
    </xdr:to>
    <xdr:graphicFrame macro="">
      <xdr:nvGraphicFramePr>
        <xdr:cNvPr id="2" name="Chart 1">
          <a:extLst>
            <a:ext uri="{FF2B5EF4-FFF2-40B4-BE49-F238E27FC236}">
              <a16:creationId xmlns:a16="http://schemas.microsoft.com/office/drawing/2014/main" id="{52B1DF03-462A-5A5E-2E5E-8D18A7AB5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442913</xdr:colOff>
      <xdr:row>36</xdr:row>
      <xdr:rowOff>0</xdr:rowOff>
    </xdr:from>
    <xdr:to>
      <xdr:col>12</xdr:col>
      <xdr:colOff>481013</xdr:colOff>
      <xdr:row>51</xdr:row>
      <xdr:rowOff>28575</xdr:rowOff>
    </xdr:to>
    <xdr:graphicFrame macro="">
      <xdr:nvGraphicFramePr>
        <xdr:cNvPr id="3" name="Chart 2">
          <a:extLst>
            <a:ext uri="{FF2B5EF4-FFF2-40B4-BE49-F238E27FC236}">
              <a16:creationId xmlns:a16="http://schemas.microsoft.com/office/drawing/2014/main" id="{7B03CD45-B249-5767-ADA4-B312E9620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442912</xdr:colOff>
      <xdr:row>52</xdr:row>
      <xdr:rowOff>23812</xdr:rowOff>
    </xdr:from>
    <xdr:to>
      <xdr:col>15</xdr:col>
      <xdr:colOff>647699</xdr:colOff>
      <xdr:row>67</xdr:row>
      <xdr:rowOff>52387</xdr:rowOff>
    </xdr:to>
    <xdr:graphicFrame macro="">
      <xdr:nvGraphicFramePr>
        <xdr:cNvPr id="4" name="Chart 3">
          <a:extLst>
            <a:ext uri="{FF2B5EF4-FFF2-40B4-BE49-F238E27FC236}">
              <a16:creationId xmlns:a16="http://schemas.microsoft.com/office/drawing/2014/main" id="{56C31E58-6193-C4D3-243B-952C3A903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609600</xdr:colOff>
      <xdr:row>81</xdr:row>
      <xdr:rowOff>0</xdr:rowOff>
    </xdr:from>
    <xdr:to>
      <xdr:col>14</xdr:col>
      <xdr:colOff>0</xdr:colOff>
      <xdr:row>96</xdr:row>
      <xdr:rowOff>28575</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526E03D0-E545-1CB9-6DD2-9944D5692E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034088" y="146589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319087</xdr:colOff>
      <xdr:row>21</xdr:row>
      <xdr:rowOff>9525</xdr:rowOff>
    </xdr:from>
    <xdr:to>
      <xdr:col>12</xdr:col>
      <xdr:colOff>204787</xdr:colOff>
      <xdr:row>35</xdr:row>
      <xdr:rowOff>0</xdr:rowOff>
    </xdr:to>
    <mc:AlternateContent xmlns:mc="http://schemas.openxmlformats.org/markup-compatibility/2006" xmlns:a14="http://schemas.microsoft.com/office/drawing/2010/main">
      <mc:Choice Requires="a14">
        <xdr:graphicFrame macro="">
          <xdr:nvGraphicFramePr>
            <xdr:cNvPr id="7" name="Item">
              <a:extLst>
                <a:ext uri="{FF2B5EF4-FFF2-40B4-BE49-F238E27FC236}">
                  <a16:creationId xmlns:a16="http://schemas.microsoft.com/office/drawing/2014/main" id="{7C75B2A3-F37B-FA17-B504-1AE3831E798B}"/>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7686675" y="3810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252412</xdr:colOff>
      <xdr:row>17</xdr:row>
      <xdr:rowOff>52387</xdr:rowOff>
    </xdr:from>
    <xdr:to>
      <xdr:col>16</xdr:col>
      <xdr:colOff>138112</xdr:colOff>
      <xdr:row>31</xdr:row>
      <xdr:rowOff>42862</xdr:rowOff>
    </xdr:to>
    <mc:AlternateContent xmlns:mc="http://schemas.openxmlformats.org/markup-compatibility/2006" xmlns:a14="http://schemas.microsoft.com/office/drawing/2010/main">
      <mc:Choice Requires="a14">
        <xdr:graphicFrame macro="">
          <xdr:nvGraphicFramePr>
            <xdr:cNvPr id="8" name="Sales Rep">
              <a:extLst>
                <a:ext uri="{FF2B5EF4-FFF2-40B4-BE49-F238E27FC236}">
                  <a16:creationId xmlns:a16="http://schemas.microsoft.com/office/drawing/2014/main" id="{B7F73C61-5511-5DA7-8FDE-7F37026BD1C7}"/>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10210800" y="312896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42</xdr:row>
      <xdr:rowOff>67235</xdr:rowOff>
    </xdr:to>
    <xdr:sp macro="" textlink="">
      <xdr:nvSpPr>
        <xdr:cNvPr id="3" name="Rectangle 2">
          <a:extLst>
            <a:ext uri="{FF2B5EF4-FFF2-40B4-BE49-F238E27FC236}">
              <a16:creationId xmlns:a16="http://schemas.microsoft.com/office/drawing/2014/main" id="{08030CDF-F59A-EF9D-8F8C-C2DE03F13BC5}"/>
            </a:ext>
          </a:extLst>
        </xdr:cNvPr>
        <xdr:cNvSpPr/>
      </xdr:nvSpPr>
      <xdr:spPr>
        <a:xfrm>
          <a:off x="0" y="0"/>
          <a:ext cx="15598588" cy="7597588"/>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340658</xdr:colOff>
      <xdr:row>0</xdr:row>
      <xdr:rowOff>128867</xdr:rowOff>
    </xdr:from>
    <xdr:to>
      <xdr:col>23</xdr:col>
      <xdr:colOff>340658</xdr:colOff>
      <xdr:row>4</xdr:row>
      <xdr:rowOff>0</xdr:rowOff>
    </xdr:to>
    <xdr:sp macro="" textlink="">
      <xdr:nvSpPr>
        <xdr:cNvPr id="4" name="Rectangle: Rounded Corners 3">
          <a:extLst>
            <a:ext uri="{FF2B5EF4-FFF2-40B4-BE49-F238E27FC236}">
              <a16:creationId xmlns:a16="http://schemas.microsoft.com/office/drawing/2014/main" id="{561BC9D0-8745-3558-FDF1-B9503A42D7C2}"/>
            </a:ext>
          </a:extLst>
        </xdr:cNvPr>
        <xdr:cNvSpPr/>
      </xdr:nvSpPr>
      <xdr:spPr>
        <a:xfrm>
          <a:off x="340658" y="128867"/>
          <a:ext cx="14948647" cy="588309"/>
        </a:xfrm>
        <a:prstGeom prst="roundRect">
          <a:avLst/>
        </a:prstGeom>
        <a:solidFill>
          <a:schemeClr val="accent2">
            <a:lumMod val="60000"/>
            <a:lumOff val="40000"/>
          </a:schemeClr>
        </a:solidFill>
        <a:ln w="38100">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xdr:row>
      <xdr:rowOff>0</xdr:rowOff>
    </xdr:from>
    <xdr:to>
      <xdr:col>15</xdr:col>
      <xdr:colOff>0</xdr:colOff>
      <xdr:row>3</xdr:row>
      <xdr:rowOff>112059</xdr:rowOff>
    </xdr:to>
    <xdr:sp macro="" textlink="">
      <xdr:nvSpPr>
        <xdr:cNvPr id="5" name="TextBox 4">
          <a:extLst>
            <a:ext uri="{FF2B5EF4-FFF2-40B4-BE49-F238E27FC236}">
              <a16:creationId xmlns:a16="http://schemas.microsoft.com/office/drawing/2014/main" id="{D31A5C4E-B67A-69E4-E1B2-B68130BFFA22}"/>
            </a:ext>
          </a:extLst>
        </xdr:cNvPr>
        <xdr:cNvSpPr txBox="1"/>
      </xdr:nvSpPr>
      <xdr:spPr>
        <a:xfrm>
          <a:off x="5199529" y="179294"/>
          <a:ext cx="4549589" cy="470647"/>
        </a:xfrm>
        <a:prstGeom prst="rect">
          <a:avLst/>
        </a:prstGeom>
        <a:solidFill>
          <a:schemeClr val="accent2">
            <a:lumMod val="60000"/>
            <a:lumOff val="40000"/>
          </a:schemeClr>
        </a:solidFill>
        <a:ln w="9525" cmpd="sng">
          <a:solidFill>
            <a:schemeClr val="accent2">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        Sales Report July-2018</a:t>
          </a:r>
        </a:p>
      </xdr:txBody>
    </xdr:sp>
    <xdr:clientData/>
  </xdr:twoCellAnchor>
  <xdr:twoCellAnchor>
    <xdr:from>
      <xdr:col>0</xdr:col>
      <xdr:colOff>285750</xdr:colOff>
      <xdr:row>4</xdr:row>
      <xdr:rowOff>95251</xdr:rowOff>
    </xdr:from>
    <xdr:to>
      <xdr:col>4</xdr:col>
      <xdr:colOff>0</xdr:colOff>
      <xdr:row>10</xdr:row>
      <xdr:rowOff>0</xdr:rowOff>
    </xdr:to>
    <xdr:sp macro="" textlink="">
      <xdr:nvSpPr>
        <xdr:cNvPr id="6" name="Rectangle: Diagonal Corners Rounded 5">
          <a:extLst>
            <a:ext uri="{FF2B5EF4-FFF2-40B4-BE49-F238E27FC236}">
              <a16:creationId xmlns:a16="http://schemas.microsoft.com/office/drawing/2014/main" id="{8A56F155-EEE9-12DF-26CD-25C6D6A4F7C3}"/>
            </a:ext>
          </a:extLst>
        </xdr:cNvPr>
        <xdr:cNvSpPr/>
      </xdr:nvSpPr>
      <xdr:spPr>
        <a:xfrm>
          <a:off x="285750" y="812427"/>
          <a:ext cx="2314015" cy="980514"/>
        </a:xfrm>
        <a:prstGeom prst="round2DiagRect">
          <a:avLst/>
        </a:prstGeom>
        <a:solidFill>
          <a:schemeClr val="accent2">
            <a:lumMod val="60000"/>
            <a:lumOff val="40000"/>
          </a:schemeClr>
        </a:solidFill>
        <a:ln w="38100">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                           </a:t>
          </a:r>
          <a:r>
            <a:rPr lang="en-US" sz="1400" b="1">
              <a:solidFill>
                <a:schemeClr val="tx1"/>
              </a:solidFill>
            </a:rPr>
            <a:t>Total Orders </a:t>
          </a:r>
        </a:p>
        <a:p>
          <a:pPr algn="l"/>
          <a:r>
            <a:rPr lang="en-US" sz="1400" b="1">
              <a:solidFill>
                <a:schemeClr val="tx1"/>
              </a:solidFill>
            </a:rPr>
            <a:t>                                 </a:t>
          </a:r>
        </a:p>
      </xdr:txBody>
    </xdr:sp>
    <xdr:clientData/>
  </xdr:twoCellAnchor>
  <xdr:twoCellAnchor editAs="oneCell">
    <xdr:from>
      <xdr:col>0</xdr:col>
      <xdr:colOff>340658</xdr:colOff>
      <xdr:row>0</xdr:row>
      <xdr:rowOff>151279</xdr:rowOff>
    </xdr:from>
    <xdr:to>
      <xdr:col>1</xdr:col>
      <xdr:colOff>605117</xdr:colOff>
      <xdr:row>4</xdr:row>
      <xdr:rowOff>0</xdr:rowOff>
    </xdr:to>
    <xdr:pic>
      <xdr:nvPicPr>
        <xdr:cNvPr id="8" name="Graphic 7" descr="List with solid fill">
          <a:extLst>
            <a:ext uri="{FF2B5EF4-FFF2-40B4-BE49-F238E27FC236}">
              <a16:creationId xmlns:a16="http://schemas.microsoft.com/office/drawing/2014/main" id="{D61EAE3D-0613-B4E3-4D67-E9BCA9E792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0658" y="151279"/>
          <a:ext cx="914400" cy="565897"/>
        </a:xfrm>
        <a:prstGeom prst="rect">
          <a:avLst/>
        </a:prstGeom>
      </xdr:spPr>
    </xdr:pic>
    <xdr:clientData/>
  </xdr:twoCellAnchor>
  <xdr:twoCellAnchor editAs="oneCell">
    <xdr:from>
      <xdr:col>0</xdr:col>
      <xdr:colOff>358588</xdr:colOff>
      <xdr:row>4</xdr:row>
      <xdr:rowOff>95251</xdr:rowOff>
    </xdr:from>
    <xdr:to>
      <xdr:col>1</xdr:col>
      <xdr:colOff>623047</xdr:colOff>
      <xdr:row>9</xdr:row>
      <xdr:rowOff>56031</xdr:rowOff>
    </xdr:to>
    <xdr:pic>
      <xdr:nvPicPr>
        <xdr:cNvPr id="10" name="Graphic 9" descr="Shopping cart with solid fill">
          <a:extLst>
            <a:ext uri="{FF2B5EF4-FFF2-40B4-BE49-F238E27FC236}">
              <a16:creationId xmlns:a16="http://schemas.microsoft.com/office/drawing/2014/main" id="{10D4C6E4-22E7-C9E9-9CAC-E021D40140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8588" y="812427"/>
          <a:ext cx="914400" cy="857251"/>
        </a:xfrm>
        <a:prstGeom prst="rect">
          <a:avLst/>
        </a:prstGeom>
      </xdr:spPr>
    </xdr:pic>
    <xdr:clientData/>
  </xdr:twoCellAnchor>
  <xdr:twoCellAnchor>
    <xdr:from>
      <xdr:col>4</xdr:col>
      <xdr:colOff>117661</xdr:colOff>
      <xdr:row>4</xdr:row>
      <xdr:rowOff>95251</xdr:rowOff>
    </xdr:from>
    <xdr:to>
      <xdr:col>8</xdr:col>
      <xdr:colOff>0</xdr:colOff>
      <xdr:row>10</xdr:row>
      <xdr:rowOff>22412</xdr:rowOff>
    </xdr:to>
    <xdr:sp macro="" textlink="">
      <xdr:nvSpPr>
        <xdr:cNvPr id="12" name="Rectangle: Diagonal Corners Rounded 11">
          <a:extLst>
            <a:ext uri="{FF2B5EF4-FFF2-40B4-BE49-F238E27FC236}">
              <a16:creationId xmlns:a16="http://schemas.microsoft.com/office/drawing/2014/main" id="{7502379F-4524-4E5F-B97F-2DB91C2DB3BE}"/>
            </a:ext>
          </a:extLst>
        </xdr:cNvPr>
        <xdr:cNvSpPr/>
      </xdr:nvSpPr>
      <xdr:spPr>
        <a:xfrm>
          <a:off x="2717426" y="812427"/>
          <a:ext cx="2482103" cy="1002926"/>
        </a:xfrm>
        <a:prstGeom prst="round2DiagRect">
          <a:avLst/>
        </a:prstGeom>
        <a:solidFill>
          <a:schemeClr val="accent2">
            <a:lumMod val="60000"/>
            <a:lumOff val="40000"/>
          </a:schemeClr>
        </a:solidFill>
        <a:ln w="38100">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lt1"/>
              </a:solidFill>
              <a:latin typeface="+mn-lt"/>
              <a:ea typeface="+mn-ea"/>
              <a:cs typeface="+mn-cs"/>
            </a:rPr>
            <a:t>                 </a:t>
          </a:r>
          <a:r>
            <a:rPr lang="en-US" sz="1400" b="1">
              <a:solidFill>
                <a:schemeClr val="tx1"/>
              </a:solidFill>
              <a:latin typeface="+mn-lt"/>
              <a:ea typeface="+mn-ea"/>
              <a:cs typeface="+mn-cs"/>
            </a:rPr>
            <a:t>Sum of Total sales</a:t>
          </a:r>
        </a:p>
        <a:p>
          <a:pPr marL="0" indent="0" algn="l"/>
          <a:r>
            <a:rPr lang="en-US" sz="1400" b="1">
              <a:solidFill>
                <a:schemeClr val="tx1"/>
              </a:solidFill>
              <a:latin typeface="+mn-lt"/>
              <a:ea typeface="+mn-ea"/>
              <a:cs typeface="+mn-cs"/>
            </a:rPr>
            <a:t>                                                  </a:t>
          </a:r>
        </a:p>
      </xdr:txBody>
    </xdr:sp>
    <xdr:clientData/>
  </xdr:twoCellAnchor>
  <xdr:twoCellAnchor editAs="oneCell">
    <xdr:from>
      <xdr:col>4</xdr:col>
      <xdr:colOff>117661</xdr:colOff>
      <xdr:row>4</xdr:row>
      <xdr:rowOff>140075</xdr:rowOff>
    </xdr:from>
    <xdr:to>
      <xdr:col>5</xdr:col>
      <xdr:colOff>382120</xdr:colOff>
      <xdr:row>8</xdr:row>
      <xdr:rowOff>101973</xdr:rowOff>
    </xdr:to>
    <xdr:pic>
      <xdr:nvPicPr>
        <xdr:cNvPr id="14" name="Graphic 13" descr="Dollar with solid fill">
          <a:extLst>
            <a:ext uri="{FF2B5EF4-FFF2-40B4-BE49-F238E27FC236}">
              <a16:creationId xmlns:a16="http://schemas.microsoft.com/office/drawing/2014/main" id="{7EC06114-9CEA-CBDB-8638-615DE8898B9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717426" y="857251"/>
          <a:ext cx="914400" cy="679075"/>
        </a:xfrm>
        <a:prstGeom prst="rect">
          <a:avLst/>
        </a:prstGeom>
      </xdr:spPr>
    </xdr:pic>
    <xdr:clientData/>
  </xdr:twoCellAnchor>
  <xdr:twoCellAnchor>
    <xdr:from>
      <xdr:col>8</xdr:col>
      <xdr:colOff>168088</xdr:colOff>
      <xdr:row>4</xdr:row>
      <xdr:rowOff>128869</xdr:rowOff>
    </xdr:from>
    <xdr:to>
      <xdr:col>12</xdr:col>
      <xdr:colOff>172571</xdr:colOff>
      <xdr:row>9</xdr:row>
      <xdr:rowOff>177055</xdr:rowOff>
    </xdr:to>
    <xdr:sp macro="" textlink="">
      <xdr:nvSpPr>
        <xdr:cNvPr id="15" name="Rectangle: Diagonal Corners Rounded 14">
          <a:extLst>
            <a:ext uri="{FF2B5EF4-FFF2-40B4-BE49-F238E27FC236}">
              <a16:creationId xmlns:a16="http://schemas.microsoft.com/office/drawing/2014/main" id="{FF7F6F1E-16BD-4613-8A9E-B136C46D78F0}"/>
            </a:ext>
          </a:extLst>
        </xdr:cNvPr>
        <xdr:cNvSpPr/>
      </xdr:nvSpPr>
      <xdr:spPr>
        <a:xfrm>
          <a:off x="5367617" y="846045"/>
          <a:ext cx="2604248" cy="944657"/>
        </a:xfrm>
        <a:prstGeom prst="round2DiagRect">
          <a:avLst/>
        </a:prstGeom>
        <a:solidFill>
          <a:schemeClr val="accent2">
            <a:lumMod val="60000"/>
            <a:lumOff val="40000"/>
          </a:schemeClr>
        </a:solidFill>
        <a:ln w="38100">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                                 </a:t>
          </a:r>
          <a:r>
            <a:rPr lang="en-US" sz="1400" b="1">
              <a:solidFill>
                <a:schemeClr val="tx1"/>
              </a:solidFill>
            </a:rPr>
            <a:t>Sum of </a:t>
          </a:r>
        </a:p>
        <a:p>
          <a:pPr algn="l"/>
          <a:r>
            <a:rPr lang="en-US" sz="1400" b="1">
              <a:solidFill>
                <a:schemeClr val="tx1"/>
              </a:solidFill>
            </a:rPr>
            <a:t>                       Total</a:t>
          </a:r>
          <a:r>
            <a:rPr lang="en-US" sz="1400" b="1" baseline="0">
              <a:solidFill>
                <a:schemeClr val="tx1"/>
              </a:solidFill>
            </a:rPr>
            <a:t> Commission</a:t>
          </a:r>
          <a:endParaRPr lang="en-US" sz="1400" b="1">
            <a:solidFill>
              <a:schemeClr val="tx1"/>
            </a:solidFill>
          </a:endParaRPr>
        </a:p>
        <a:p>
          <a:pPr algn="l"/>
          <a:r>
            <a:rPr lang="en-US" sz="1400" b="1">
              <a:solidFill>
                <a:schemeClr val="tx1"/>
              </a:solidFill>
            </a:rPr>
            <a:t>                                                      </a:t>
          </a:r>
          <a:r>
            <a:rPr lang="en-US" sz="1400">
              <a:solidFill>
                <a:schemeClr val="tx1"/>
              </a:solidFill>
              <a:effectLst/>
            </a:rPr>
            <a:t> </a:t>
          </a:r>
          <a:endParaRPr lang="en-US" sz="1400" b="1">
            <a:solidFill>
              <a:schemeClr val="tx1"/>
            </a:solidFill>
          </a:endParaRPr>
        </a:p>
      </xdr:txBody>
    </xdr:sp>
    <xdr:clientData/>
  </xdr:twoCellAnchor>
  <xdr:twoCellAnchor editAs="oneCell">
    <xdr:from>
      <xdr:col>8</xdr:col>
      <xdr:colOff>168088</xdr:colOff>
      <xdr:row>4</xdr:row>
      <xdr:rowOff>171454</xdr:rowOff>
    </xdr:from>
    <xdr:to>
      <xdr:col>9</xdr:col>
      <xdr:colOff>432546</xdr:colOff>
      <xdr:row>9</xdr:row>
      <xdr:rowOff>56031</xdr:rowOff>
    </xdr:to>
    <xdr:pic>
      <xdr:nvPicPr>
        <xdr:cNvPr id="17" name="Graphic 16" descr="Coins with solid fill">
          <a:extLst>
            <a:ext uri="{FF2B5EF4-FFF2-40B4-BE49-F238E27FC236}">
              <a16:creationId xmlns:a16="http://schemas.microsoft.com/office/drawing/2014/main" id="{F33685D3-AF59-98A1-72A0-E3CC6BC93A9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367617" y="888630"/>
          <a:ext cx="914400" cy="781048"/>
        </a:xfrm>
        <a:prstGeom prst="rect">
          <a:avLst/>
        </a:prstGeom>
      </xdr:spPr>
    </xdr:pic>
    <xdr:clientData/>
  </xdr:twoCellAnchor>
  <xdr:twoCellAnchor>
    <xdr:from>
      <xdr:col>12</xdr:col>
      <xdr:colOff>305247</xdr:colOff>
      <xdr:row>4</xdr:row>
      <xdr:rowOff>98616</xdr:rowOff>
    </xdr:from>
    <xdr:to>
      <xdr:col>16</xdr:col>
      <xdr:colOff>205291</xdr:colOff>
      <xdr:row>10</xdr:row>
      <xdr:rowOff>3365</xdr:rowOff>
    </xdr:to>
    <xdr:sp macro="" textlink="">
      <xdr:nvSpPr>
        <xdr:cNvPr id="20" name="Rectangle: Diagonal Corners Rounded 19">
          <a:extLst>
            <a:ext uri="{FF2B5EF4-FFF2-40B4-BE49-F238E27FC236}">
              <a16:creationId xmlns:a16="http://schemas.microsoft.com/office/drawing/2014/main" id="{425B3535-113A-435D-8101-4C065C1A82C1}"/>
            </a:ext>
          </a:extLst>
        </xdr:cNvPr>
        <xdr:cNvSpPr/>
      </xdr:nvSpPr>
      <xdr:spPr>
        <a:xfrm>
          <a:off x="8104541" y="815792"/>
          <a:ext cx="2499809" cy="980514"/>
        </a:xfrm>
        <a:prstGeom prst="round2DiagRect">
          <a:avLst>
            <a:gd name="adj1" fmla="val 19524"/>
            <a:gd name="adj2" fmla="val 0"/>
          </a:avLst>
        </a:prstGeom>
        <a:solidFill>
          <a:schemeClr val="accent2">
            <a:lumMod val="60000"/>
            <a:lumOff val="40000"/>
          </a:schemeClr>
        </a:solidFill>
        <a:ln w="38100">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                           Net</a:t>
          </a:r>
          <a:r>
            <a:rPr lang="en-US" sz="1400" b="1" baseline="0">
              <a:solidFill>
                <a:schemeClr val="tx1"/>
              </a:solidFill>
            </a:rPr>
            <a:t> Sales</a:t>
          </a:r>
          <a:r>
            <a:rPr lang="en-US" sz="1400" b="1">
              <a:solidFill>
                <a:schemeClr val="tx1"/>
              </a:solidFill>
            </a:rPr>
            <a:t> </a:t>
          </a:r>
        </a:p>
        <a:p>
          <a:pPr algn="l"/>
          <a:r>
            <a:rPr lang="en-US" sz="1400" b="1">
              <a:solidFill>
                <a:schemeClr val="tx1"/>
              </a:solidFill>
            </a:rPr>
            <a:t>                            </a:t>
          </a:r>
          <a:r>
            <a:rPr lang="en-US" sz="1400" b="1">
              <a:solidFill>
                <a:schemeClr val="tx1"/>
              </a:solidFill>
              <a:effectLst/>
            </a:rPr>
            <a:t> </a:t>
          </a:r>
          <a:endParaRPr lang="en-US" sz="1400" b="1">
            <a:solidFill>
              <a:schemeClr val="tx1"/>
            </a:solidFill>
          </a:endParaRPr>
        </a:p>
      </xdr:txBody>
    </xdr:sp>
    <xdr:clientData/>
  </xdr:twoCellAnchor>
  <xdr:twoCellAnchor editAs="oneCell">
    <xdr:from>
      <xdr:col>12</xdr:col>
      <xdr:colOff>560294</xdr:colOff>
      <xdr:row>4</xdr:row>
      <xdr:rowOff>72837</xdr:rowOff>
    </xdr:from>
    <xdr:to>
      <xdr:col>14</xdr:col>
      <xdr:colOff>174812</xdr:colOff>
      <xdr:row>9</xdr:row>
      <xdr:rowOff>90766</xdr:rowOff>
    </xdr:to>
    <xdr:pic>
      <xdr:nvPicPr>
        <xdr:cNvPr id="27" name="Graphic 26" descr="Upward trend with solid fill">
          <a:extLst>
            <a:ext uri="{FF2B5EF4-FFF2-40B4-BE49-F238E27FC236}">
              <a16:creationId xmlns:a16="http://schemas.microsoft.com/office/drawing/2014/main" id="{4042BE3F-BA90-B0B0-CF2C-3C1FEE2C0C2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359588" y="790013"/>
          <a:ext cx="914400" cy="914400"/>
        </a:xfrm>
        <a:prstGeom prst="rect">
          <a:avLst/>
        </a:prstGeom>
      </xdr:spPr>
    </xdr:pic>
    <xdr:clientData/>
  </xdr:twoCellAnchor>
  <xdr:twoCellAnchor>
    <xdr:from>
      <xdr:col>16</xdr:col>
      <xdr:colOff>364190</xdr:colOff>
      <xdr:row>4</xdr:row>
      <xdr:rowOff>104218</xdr:rowOff>
    </xdr:from>
    <xdr:to>
      <xdr:col>23</xdr:col>
      <xdr:colOff>386602</xdr:colOff>
      <xdr:row>41</xdr:row>
      <xdr:rowOff>118785</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B415EF25-9BE9-4B3B-B400-58E126127B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727390" y="828118"/>
              <a:ext cx="4556312" cy="67106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224118</xdr:colOff>
      <xdr:row>10</xdr:row>
      <xdr:rowOff>114300</xdr:rowOff>
    </xdr:from>
    <xdr:to>
      <xdr:col>16</xdr:col>
      <xdr:colOff>194982</xdr:colOff>
      <xdr:row>25</xdr:row>
      <xdr:rowOff>168088</xdr:rowOff>
    </xdr:to>
    <xdr:graphicFrame macro="">
      <xdr:nvGraphicFramePr>
        <xdr:cNvPr id="33" name="Chart 32">
          <a:extLst>
            <a:ext uri="{FF2B5EF4-FFF2-40B4-BE49-F238E27FC236}">
              <a16:creationId xmlns:a16="http://schemas.microsoft.com/office/drawing/2014/main" id="{7E258DB2-4F5F-4479-B2B4-BB11A6868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78441</xdr:colOff>
      <xdr:row>26</xdr:row>
      <xdr:rowOff>100853</xdr:rowOff>
    </xdr:from>
    <xdr:to>
      <xdr:col>7</xdr:col>
      <xdr:colOff>283733</xdr:colOff>
      <xdr:row>41</xdr:row>
      <xdr:rowOff>162484</xdr:rowOff>
    </xdr:to>
    <xdr:graphicFrame macro="">
      <xdr:nvGraphicFramePr>
        <xdr:cNvPr id="34" name="Chart 33">
          <a:extLst>
            <a:ext uri="{FF2B5EF4-FFF2-40B4-BE49-F238E27FC236}">
              <a16:creationId xmlns:a16="http://schemas.microsoft.com/office/drawing/2014/main" id="{2FD07D46-A748-4D65-8C73-4927BE9D7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409015</xdr:colOff>
      <xdr:row>26</xdr:row>
      <xdr:rowOff>89647</xdr:rowOff>
    </xdr:from>
    <xdr:to>
      <xdr:col>16</xdr:col>
      <xdr:colOff>219409</xdr:colOff>
      <xdr:row>41</xdr:row>
      <xdr:rowOff>143435</xdr:rowOff>
    </xdr:to>
    <xdr:graphicFrame macro="">
      <xdr:nvGraphicFramePr>
        <xdr:cNvPr id="36" name="Chart 35">
          <a:extLst>
            <a:ext uri="{FF2B5EF4-FFF2-40B4-BE49-F238E27FC236}">
              <a16:creationId xmlns:a16="http://schemas.microsoft.com/office/drawing/2014/main" id="{A4BF9260-3497-4ADE-8073-E42789B7D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173692</xdr:colOff>
      <xdr:row>10</xdr:row>
      <xdr:rowOff>151280</xdr:rowOff>
    </xdr:from>
    <xdr:to>
      <xdr:col>3</xdr:col>
      <xdr:colOff>52668</xdr:colOff>
      <xdr:row>25</xdr:row>
      <xdr:rowOff>145676</xdr:rowOff>
    </xdr:to>
    <mc:AlternateContent xmlns:mc="http://schemas.openxmlformats.org/markup-compatibility/2006" xmlns:a14="http://schemas.microsoft.com/office/drawing/2010/main">
      <mc:Choice Requires="a14">
        <xdr:graphicFrame macro="">
          <xdr:nvGraphicFramePr>
            <xdr:cNvPr id="7" name="Item 1">
              <a:extLst>
                <a:ext uri="{FF2B5EF4-FFF2-40B4-BE49-F238E27FC236}">
                  <a16:creationId xmlns:a16="http://schemas.microsoft.com/office/drawing/2014/main" id="{BBC0E192-92A5-40A8-937B-EB55E08771F3}"/>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73692" y="1944221"/>
              <a:ext cx="1828800" cy="2683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173691</xdr:colOff>
      <xdr:row>10</xdr:row>
      <xdr:rowOff>145677</xdr:rowOff>
    </xdr:from>
    <xdr:to>
      <xdr:col>6</xdr:col>
      <xdr:colOff>52668</xdr:colOff>
      <xdr:row>25</xdr:row>
      <xdr:rowOff>117662</xdr:rowOff>
    </xdr:to>
    <mc:AlternateContent xmlns:mc="http://schemas.openxmlformats.org/markup-compatibility/2006" xmlns:a14="http://schemas.microsoft.com/office/drawing/2010/main">
      <mc:Choice Requires="a14">
        <xdr:graphicFrame macro="">
          <xdr:nvGraphicFramePr>
            <xdr:cNvPr id="9" name="Sales Rep 1">
              <a:extLst>
                <a:ext uri="{FF2B5EF4-FFF2-40B4-BE49-F238E27FC236}">
                  <a16:creationId xmlns:a16="http://schemas.microsoft.com/office/drawing/2014/main" id="{D009FFE4-0F96-4DAB-B585-20A2714C3DE2}"/>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mlns="">
        <xdr:sp macro="" textlink="">
          <xdr:nvSpPr>
            <xdr:cNvPr id="0" name=""/>
            <xdr:cNvSpPr>
              <a:spLocks noTextEdit="1"/>
            </xdr:cNvSpPr>
          </xdr:nvSpPr>
          <xdr:spPr>
            <a:xfrm>
              <a:off x="2123515" y="1938618"/>
              <a:ext cx="1828800" cy="2661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369795</xdr:colOff>
      <xdr:row>6</xdr:row>
      <xdr:rowOff>128866</xdr:rowOff>
    </xdr:from>
    <xdr:ext cx="616323" cy="311496"/>
    <xdr:sp macro="" textlink="kpi!C6">
      <xdr:nvSpPr>
        <xdr:cNvPr id="11" name="TextBox 10">
          <a:extLst>
            <a:ext uri="{FF2B5EF4-FFF2-40B4-BE49-F238E27FC236}">
              <a16:creationId xmlns:a16="http://schemas.microsoft.com/office/drawing/2014/main" id="{4F06BDFA-57A4-7EFE-E3F0-8F665F961C0C}"/>
            </a:ext>
          </a:extLst>
        </xdr:cNvPr>
        <xdr:cNvSpPr txBox="1"/>
      </xdr:nvSpPr>
      <xdr:spPr>
        <a:xfrm>
          <a:off x="1669677" y="1204631"/>
          <a:ext cx="61632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64F57A9-2AA9-4919-8558-ECB9B0694B76}" type="TxLink">
            <a:rPr lang="en-US" sz="1400" b="1" i="0" u="none" strike="noStrike">
              <a:solidFill>
                <a:srgbClr val="000000"/>
              </a:solidFill>
              <a:latin typeface="Calibri"/>
              <a:ea typeface="Calibri"/>
              <a:cs typeface="Calibri"/>
            </a:rPr>
            <a:pPr/>
            <a:t>1300</a:t>
          </a:fld>
          <a:endParaRPr lang="en-US" sz="1400" b="1"/>
        </a:p>
      </xdr:txBody>
    </xdr:sp>
    <xdr:clientData/>
  </xdr:oneCellAnchor>
  <xdr:oneCellAnchor>
    <xdr:from>
      <xdr:col>5</xdr:col>
      <xdr:colOff>532280</xdr:colOff>
      <xdr:row>6</xdr:row>
      <xdr:rowOff>106455</xdr:rowOff>
    </xdr:from>
    <xdr:ext cx="862852" cy="311496"/>
    <xdr:sp macro="" textlink="kpi!C12">
      <xdr:nvSpPr>
        <xdr:cNvPr id="13" name="TextBox 12">
          <a:extLst>
            <a:ext uri="{FF2B5EF4-FFF2-40B4-BE49-F238E27FC236}">
              <a16:creationId xmlns:a16="http://schemas.microsoft.com/office/drawing/2014/main" id="{2DEE6E7D-70E3-437F-9C60-B9F4563E5CB7}"/>
            </a:ext>
          </a:extLst>
        </xdr:cNvPr>
        <xdr:cNvSpPr txBox="1"/>
      </xdr:nvSpPr>
      <xdr:spPr>
        <a:xfrm>
          <a:off x="3781986" y="1182220"/>
          <a:ext cx="86285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0EF4943-3522-4390-94D4-8E2DBC33F6F0}" type="TxLink">
            <a:rPr lang="en-US" sz="1400" b="1" i="0" u="none" strike="noStrike">
              <a:solidFill>
                <a:srgbClr val="000000"/>
              </a:solidFill>
              <a:latin typeface="Calibri"/>
              <a:ea typeface="Calibri"/>
              <a:cs typeface="Calibri"/>
            </a:rPr>
            <a:pPr/>
            <a:t>1585146</a:t>
          </a:fld>
          <a:endParaRPr lang="en-US" sz="1400" b="1"/>
        </a:p>
      </xdr:txBody>
    </xdr:sp>
    <xdr:clientData/>
  </xdr:oneCellAnchor>
  <xdr:oneCellAnchor>
    <xdr:from>
      <xdr:col>10</xdr:col>
      <xdr:colOff>100853</xdr:colOff>
      <xdr:row>7</xdr:row>
      <xdr:rowOff>95251</xdr:rowOff>
    </xdr:from>
    <xdr:ext cx="1047750" cy="311496"/>
    <xdr:sp macro="" textlink="kpi!C18">
      <xdr:nvSpPr>
        <xdr:cNvPr id="16" name="TextBox 15">
          <a:extLst>
            <a:ext uri="{FF2B5EF4-FFF2-40B4-BE49-F238E27FC236}">
              <a16:creationId xmlns:a16="http://schemas.microsoft.com/office/drawing/2014/main" id="{621160C4-20C8-4B61-87DD-4F5363340F97}"/>
            </a:ext>
          </a:extLst>
        </xdr:cNvPr>
        <xdr:cNvSpPr txBox="1"/>
      </xdr:nvSpPr>
      <xdr:spPr>
        <a:xfrm>
          <a:off x="6600265" y="1350310"/>
          <a:ext cx="10477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64C1A04-ECF1-48C1-996B-D448AEF358A1}" type="TxLink">
            <a:rPr lang="en-US" sz="1400" b="1" i="0" u="none" strike="noStrike">
              <a:solidFill>
                <a:srgbClr val="000000"/>
              </a:solidFill>
              <a:latin typeface="Calibri"/>
              <a:ea typeface="Calibri"/>
              <a:cs typeface="Calibri"/>
            </a:rPr>
            <a:pPr/>
            <a:t>100160.24</a:t>
          </a:fld>
          <a:endParaRPr lang="en-US" sz="1400" b="1"/>
        </a:p>
      </xdr:txBody>
    </xdr:sp>
    <xdr:clientData/>
  </xdr:oneCellAnchor>
  <xdr:oneCellAnchor>
    <xdr:from>
      <xdr:col>14</xdr:col>
      <xdr:colOff>184898</xdr:colOff>
      <xdr:row>6</xdr:row>
      <xdr:rowOff>137836</xdr:rowOff>
    </xdr:from>
    <xdr:ext cx="1137397" cy="311496"/>
    <xdr:sp macro="" textlink="kpi!C23">
      <xdr:nvSpPr>
        <xdr:cNvPr id="18" name="TextBox 17">
          <a:extLst>
            <a:ext uri="{FF2B5EF4-FFF2-40B4-BE49-F238E27FC236}">
              <a16:creationId xmlns:a16="http://schemas.microsoft.com/office/drawing/2014/main" id="{F5C73361-3D13-4DFD-8E28-BDCFCC877115}"/>
            </a:ext>
          </a:extLst>
        </xdr:cNvPr>
        <xdr:cNvSpPr txBox="1"/>
      </xdr:nvSpPr>
      <xdr:spPr>
        <a:xfrm>
          <a:off x="9284074" y="1213601"/>
          <a:ext cx="113739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19F306E-239C-4475-8BE7-EE96EC11F2EB}" type="TxLink">
            <a:rPr lang="en-US" sz="1400" b="1" i="0" u="none" strike="noStrike">
              <a:solidFill>
                <a:srgbClr val="000000"/>
              </a:solidFill>
              <a:latin typeface="Calibri"/>
              <a:ea typeface="Calibri"/>
              <a:cs typeface="Calibri"/>
            </a:rPr>
            <a:pPr/>
            <a:t>1484985.76</a:t>
          </a:fld>
          <a:endParaRPr lang="en-US" sz="14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26.934893171296" createdVersion="8" refreshedVersion="8" minRefreshableVersion="3" recordCount="1300" xr:uid="{37644423-5CAA-4B5B-912C-5F6FDA44E2F2}">
  <cacheSource type="worksheet">
    <worksheetSource name="salesorderanalysis"/>
  </cacheSource>
  <cacheFields count="10">
    <cacheField name="Order Id" numFmtId="0">
      <sharedItems count="1300">
        <s v="Order id = 1"/>
        <s v="Order id = 2"/>
        <s v="Order id = 3"/>
        <s v="Order id = 4"/>
        <s v="Order id = 5"/>
        <s v="Order id = 6"/>
        <s v="Order id = 7"/>
        <s v="Order id = 8"/>
        <s v="Order id = 9"/>
        <s v="Order id = 10"/>
        <s v="Order id = 11"/>
        <s v="Order id = 12"/>
        <s v="Order id = 13"/>
        <s v="Order id = 14"/>
        <s v="Order id = 15"/>
        <s v="Order id = 16"/>
        <s v="Order id = 17"/>
        <s v="Order id = 18"/>
        <s v="Order id = 19"/>
        <s v="Order id = 20"/>
        <s v="Order id = 21"/>
        <s v="Order id = 22"/>
        <s v="Order id = 23"/>
        <s v="Order id = 24"/>
        <s v="Order id = 25"/>
        <s v="Order id = 26"/>
        <s v="Order id = 27"/>
        <s v="Order id = 28"/>
        <s v="Order id = 29"/>
        <s v="Order id = 30"/>
        <s v="Order id = 31"/>
        <s v="Order id = 32"/>
        <s v="Order id = 33"/>
        <s v="Order id = 34"/>
        <s v="Order id = 35"/>
        <s v="Order id = 36"/>
        <s v="Order id = 37"/>
        <s v="Order id = 38"/>
        <s v="Order id = 39"/>
        <s v="Order id = 40"/>
        <s v="Order id = 41"/>
        <s v="Order id = 42"/>
        <s v="Order id = 43"/>
        <s v="Order id = 44"/>
        <s v="Order id = 45"/>
        <s v="Order id = 46"/>
        <s v="Order id = 47"/>
        <s v="Order id = 48"/>
        <s v="Order id = 49"/>
        <s v="Order id = 50"/>
        <s v="Order id = 51"/>
        <s v="Order id = 52"/>
        <s v="Order id = 53"/>
        <s v="Order id = 54"/>
        <s v="Order id = 55"/>
        <s v="Order id = 56"/>
        <s v="Order id = 57"/>
        <s v="Order id = 58"/>
        <s v="Order id = 59"/>
        <s v="Order id = 60"/>
        <s v="Order id = 61"/>
        <s v="Order id = 62"/>
        <s v="Order id = 63"/>
        <s v="Order id = 64"/>
        <s v="Order id = 65"/>
        <s v="Order id = 66"/>
        <s v="Order id = 67"/>
        <s v="Order id = 68"/>
        <s v="Order id = 69"/>
        <s v="Order id = 70"/>
        <s v="Order id = 71"/>
        <s v="Order id = 72"/>
        <s v="Order id = 73"/>
        <s v="Order id = 74"/>
        <s v="Order id = 75"/>
        <s v="Order id = 76"/>
        <s v="Order id = 77"/>
        <s v="Order id = 78"/>
        <s v="Order id = 79"/>
        <s v="Order id = 80"/>
        <s v="Order id = 81"/>
        <s v="Order id = 82"/>
        <s v="Order id = 83"/>
        <s v="Order id = 84"/>
        <s v="Order id = 85"/>
        <s v="Order id = 86"/>
        <s v="Order id = 87"/>
        <s v="Order id = 88"/>
        <s v="Order id = 89"/>
        <s v="Order id = 90"/>
        <s v="Order id = 91"/>
        <s v="Order id = 92"/>
        <s v="Order id = 93"/>
        <s v="Order id = 94"/>
        <s v="Order id = 95"/>
        <s v="Order id = 96"/>
        <s v="Order id = 97"/>
        <s v="Order id = 98"/>
        <s v="Order id = 99"/>
        <s v="Order id = 100"/>
        <s v="Order id = 101"/>
        <s v="Order id = 102"/>
        <s v="Order id = 103"/>
        <s v="Order id = 104"/>
        <s v="Order id = 105"/>
        <s v="Order id = 106"/>
        <s v="Order id = 107"/>
        <s v="Order id = 108"/>
        <s v="Order id = 109"/>
        <s v="Order id = 110"/>
        <s v="Order id = 111"/>
        <s v="Order id = 112"/>
        <s v="Order id = 113"/>
        <s v="Order id = 114"/>
        <s v="Order id = 115"/>
        <s v="Order id = 116"/>
        <s v="Order id = 117"/>
        <s v="Order id = 118"/>
        <s v="Order id = 119"/>
        <s v="Order id = 120"/>
        <s v="Order id = 121"/>
        <s v="Order id = 122"/>
        <s v="Order id = 123"/>
        <s v="Order id = 124"/>
        <s v="Order id = 125"/>
        <s v="Order id = 126"/>
        <s v="Order id = 127"/>
        <s v="Order id = 128"/>
        <s v="Order id = 129"/>
        <s v="Order id = 130"/>
        <s v="Order id = 131"/>
        <s v="Order id = 132"/>
        <s v="Order id = 133"/>
        <s v="Order id = 134"/>
        <s v="Order id = 135"/>
        <s v="Order id = 136"/>
        <s v="Order id = 137"/>
        <s v="Order id = 138"/>
        <s v="Order id = 139"/>
        <s v="Order id = 140"/>
        <s v="Order id = 141"/>
        <s v="Order id = 142"/>
        <s v="Order id = 143"/>
        <s v="Order id = 144"/>
        <s v="Order id = 145"/>
        <s v="Order id = 146"/>
        <s v="Order id = 147"/>
        <s v="Order id = 148"/>
        <s v="Order id = 149"/>
        <s v="Order id = 150"/>
        <s v="Order id = 151"/>
        <s v="Order id = 152"/>
        <s v="Order id = 153"/>
        <s v="Order id = 154"/>
        <s v="Order id = 155"/>
        <s v="Order id = 156"/>
        <s v="Order id = 157"/>
        <s v="Order id = 158"/>
        <s v="Order id = 159"/>
        <s v="Order id = 160"/>
        <s v="Order id = 161"/>
        <s v="Order id = 162"/>
        <s v="Order id = 163"/>
        <s v="Order id = 164"/>
        <s v="Order id = 165"/>
        <s v="Order id = 166"/>
        <s v="Order id = 167"/>
        <s v="Order id = 168"/>
        <s v="Order id = 169"/>
        <s v="Order id = 170"/>
        <s v="Order id = 171"/>
        <s v="Order id = 172"/>
        <s v="Order id = 173"/>
        <s v="Order id = 174"/>
        <s v="Order id = 175"/>
        <s v="Order id = 176"/>
        <s v="Order id = 177"/>
        <s v="Order id = 178"/>
        <s v="Order id = 179"/>
        <s v="Order id = 180"/>
        <s v="Order id = 181"/>
        <s v="Order id = 182"/>
        <s v="Order id = 183"/>
        <s v="Order id = 184"/>
        <s v="Order id = 185"/>
        <s v="Order id = 186"/>
        <s v="Order id = 187"/>
        <s v="Order id = 188"/>
        <s v="Order id = 189"/>
        <s v="Order id = 190"/>
        <s v="Order id = 191"/>
        <s v="Order id = 192"/>
        <s v="Order id = 193"/>
        <s v="Order id = 194"/>
        <s v="Order id = 195"/>
        <s v="Order id = 196"/>
        <s v="Order id = 197"/>
        <s v="Order id = 198"/>
        <s v="Order id = 199"/>
        <s v="Order id = 200"/>
        <s v="Order id = 201"/>
        <s v="Order id = 202"/>
        <s v="Order id = 203"/>
        <s v="Order id = 204"/>
        <s v="Order id = 205"/>
        <s v="Order id = 206"/>
        <s v="Order id = 207"/>
        <s v="Order id = 208"/>
        <s v="Order id = 209"/>
        <s v="Order id = 210"/>
        <s v="Order id = 211"/>
        <s v="Order id = 212"/>
        <s v="Order id = 213"/>
        <s v="Order id = 214"/>
        <s v="Order id = 215"/>
        <s v="Order id = 216"/>
        <s v="Order id = 217"/>
        <s v="Order id = 218"/>
        <s v="Order id = 219"/>
        <s v="Order id = 220"/>
        <s v="Order id = 221"/>
        <s v="Order id = 222"/>
        <s v="Order id = 223"/>
        <s v="Order id = 224"/>
        <s v="Order id = 225"/>
        <s v="Order id = 226"/>
        <s v="Order id = 227"/>
        <s v="Order id = 228"/>
        <s v="Order id = 229"/>
        <s v="Order id = 230"/>
        <s v="Order id = 231"/>
        <s v="Order id = 232"/>
        <s v="Order id = 233"/>
        <s v="Order id = 234"/>
        <s v="Order id = 235"/>
        <s v="Order id = 236"/>
        <s v="Order id = 237"/>
        <s v="Order id = 238"/>
        <s v="Order id = 239"/>
        <s v="Order id = 240"/>
        <s v="Order id = 241"/>
        <s v="Order id = 242"/>
        <s v="Order id = 243"/>
        <s v="Order id = 244"/>
        <s v="Order id = 245"/>
        <s v="Order id = 246"/>
        <s v="Order id = 247"/>
        <s v="Order id = 248"/>
        <s v="Order id = 249"/>
        <s v="Order id = 250"/>
        <s v="Order id = 251"/>
        <s v="Order id = 252"/>
        <s v="Order id = 253"/>
        <s v="Order id = 254"/>
        <s v="Order id = 255"/>
        <s v="Order id = 256"/>
        <s v="Order id = 257"/>
        <s v="Order id = 258"/>
        <s v="Order id = 259"/>
        <s v="Order id = 260"/>
        <s v="Order id = 261"/>
        <s v="Order id = 262"/>
        <s v="Order id = 263"/>
        <s v="Order id = 264"/>
        <s v="Order id = 265"/>
        <s v="Order id = 266"/>
        <s v="Order id = 267"/>
        <s v="Order id = 268"/>
        <s v="Order id = 269"/>
        <s v="Order id = 270"/>
        <s v="Order id = 271"/>
        <s v="Order id = 272"/>
        <s v="Order id = 273"/>
        <s v="Order id = 274"/>
        <s v="Order id = 275"/>
        <s v="Order id = 276"/>
        <s v="Order id = 277"/>
        <s v="Order id = 278"/>
        <s v="Order id = 279"/>
        <s v="Order id = 280"/>
        <s v="Order id = 281"/>
        <s v="Order id = 282"/>
        <s v="Order id = 283"/>
        <s v="Order id = 284"/>
        <s v="Order id = 285"/>
        <s v="Order id = 286"/>
        <s v="Order id = 287"/>
        <s v="Order id = 288"/>
        <s v="Order id = 289"/>
        <s v="Order id = 290"/>
        <s v="Order id = 291"/>
        <s v="Order id = 292"/>
        <s v="Order id = 293"/>
        <s v="Order id = 294"/>
        <s v="Order id = 295"/>
        <s v="Order id = 296"/>
        <s v="Order id = 297"/>
        <s v="Order id = 298"/>
        <s v="Order id = 299"/>
        <s v="Order id = 300"/>
        <s v="Order id = 301"/>
        <s v="Order id = 302"/>
        <s v="Order id = 303"/>
        <s v="Order id = 304"/>
        <s v="Order id = 305"/>
        <s v="Order id = 306"/>
        <s v="Order id = 307"/>
        <s v="Order id = 308"/>
        <s v="Order id = 309"/>
        <s v="Order id = 310"/>
        <s v="Order id = 311"/>
        <s v="Order id = 312"/>
        <s v="Order id = 313"/>
        <s v="Order id = 314"/>
        <s v="Order id = 315"/>
        <s v="Order id = 316"/>
        <s v="Order id = 317"/>
        <s v="Order id = 318"/>
        <s v="Order id = 319"/>
        <s v="Order id = 320"/>
        <s v="Order id = 321"/>
        <s v="Order id = 322"/>
        <s v="Order id = 323"/>
        <s v="Order id = 324"/>
        <s v="Order id = 325"/>
        <s v="Order id = 326"/>
        <s v="Order id = 327"/>
        <s v="Order id = 328"/>
        <s v="Order id = 329"/>
        <s v="Order id = 330"/>
        <s v="Order id = 331"/>
        <s v="Order id = 332"/>
        <s v="Order id = 333"/>
        <s v="Order id = 334"/>
        <s v="Order id = 335"/>
        <s v="Order id = 336"/>
        <s v="Order id = 337"/>
        <s v="Order id = 338"/>
        <s v="Order id = 339"/>
        <s v="Order id = 340"/>
        <s v="Order id = 341"/>
        <s v="Order id = 342"/>
        <s v="Order id = 343"/>
        <s v="Order id = 344"/>
        <s v="Order id = 345"/>
        <s v="Order id = 346"/>
        <s v="Order id = 347"/>
        <s v="Order id = 348"/>
        <s v="Order id = 349"/>
        <s v="Order id = 350"/>
        <s v="Order id = 351"/>
        <s v="Order id = 352"/>
        <s v="Order id = 353"/>
        <s v="Order id = 354"/>
        <s v="Order id = 355"/>
        <s v="Order id = 356"/>
        <s v="Order id = 357"/>
        <s v="Order id = 358"/>
        <s v="Order id = 359"/>
        <s v="Order id = 360"/>
        <s v="Order id = 361"/>
        <s v="Order id = 362"/>
        <s v="Order id = 363"/>
        <s v="Order id = 364"/>
        <s v="Order id = 365"/>
        <s v="Order id = 366"/>
        <s v="Order id = 367"/>
        <s v="Order id = 368"/>
        <s v="Order id = 369"/>
        <s v="Order id = 370"/>
        <s v="Order id = 371"/>
        <s v="Order id = 372"/>
        <s v="Order id = 373"/>
        <s v="Order id = 374"/>
        <s v="Order id = 375"/>
        <s v="Order id = 376"/>
        <s v="Order id = 377"/>
        <s v="Order id = 378"/>
        <s v="Order id = 379"/>
        <s v="Order id = 380"/>
        <s v="Order id = 381"/>
        <s v="Order id = 382"/>
        <s v="Order id = 383"/>
        <s v="Order id = 384"/>
        <s v="Order id = 385"/>
        <s v="Order id = 386"/>
        <s v="Order id = 387"/>
        <s v="Order id = 388"/>
        <s v="Order id = 389"/>
        <s v="Order id = 390"/>
        <s v="Order id = 391"/>
        <s v="Order id = 392"/>
        <s v="Order id = 393"/>
        <s v="Order id = 394"/>
        <s v="Order id = 395"/>
        <s v="Order id = 396"/>
        <s v="Order id = 397"/>
        <s v="Order id = 398"/>
        <s v="Order id = 399"/>
        <s v="Order id = 400"/>
        <s v="Order id = 401"/>
        <s v="Order id = 402"/>
        <s v="Order id = 403"/>
        <s v="Order id = 404"/>
        <s v="Order id = 405"/>
        <s v="Order id = 406"/>
        <s v="Order id = 407"/>
        <s v="Order id = 408"/>
        <s v="Order id = 409"/>
        <s v="Order id = 410"/>
        <s v="Order id = 411"/>
        <s v="Order id = 412"/>
        <s v="Order id = 413"/>
        <s v="Order id = 414"/>
        <s v="Order id = 415"/>
        <s v="Order id = 416"/>
        <s v="Order id = 417"/>
        <s v="Order id = 418"/>
        <s v="Order id = 419"/>
        <s v="Order id = 420"/>
        <s v="Order id = 421"/>
        <s v="Order id = 422"/>
        <s v="Order id = 423"/>
        <s v="Order id = 424"/>
        <s v="Order id = 425"/>
        <s v="Order id = 426"/>
        <s v="Order id = 427"/>
        <s v="Order id = 428"/>
        <s v="Order id = 429"/>
        <s v="Order id = 430"/>
        <s v="Order id = 431"/>
        <s v="Order id = 432"/>
        <s v="Order id = 433"/>
        <s v="Order id = 434"/>
        <s v="Order id = 435"/>
        <s v="Order id = 436"/>
        <s v="Order id = 437"/>
        <s v="Order id = 438"/>
        <s v="Order id = 439"/>
        <s v="Order id = 440"/>
        <s v="Order id = 441"/>
        <s v="Order id = 442"/>
        <s v="Order id = 443"/>
        <s v="Order id = 444"/>
        <s v="Order id = 445"/>
        <s v="Order id = 446"/>
        <s v="Order id = 447"/>
        <s v="Order id = 448"/>
        <s v="Order id = 449"/>
        <s v="Order id = 450"/>
        <s v="Order id = 451"/>
        <s v="Order id = 452"/>
        <s v="Order id = 453"/>
        <s v="Order id = 454"/>
        <s v="Order id = 455"/>
        <s v="Order id = 456"/>
        <s v="Order id = 457"/>
        <s v="Order id = 458"/>
        <s v="Order id = 459"/>
        <s v="Order id = 460"/>
        <s v="Order id = 461"/>
        <s v="Order id = 462"/>
        <s v="Order id = 463"/>
        <s v="Order id = 464"/>
        <s v="Order id = 465"/>
        <s v="Order id = 466"/>
        <s v="Order id = 467"/>
        <s v="Order id = 468"/>
        <s v="Order id = 469"/>
        <s v="Order id = 470"/>
        <s v="Order id = 471"/>
        <s v="Order id = 472"/>
        <s v="Order id = 473"/>
        <s v="Order id = 474"/>
        <s v="Order id = 475"/>
        <s v="Order id = 476"/>
        <s v="Order id = 477"/>
        <s v="Order id = 478"/>
        <s v="Order id = 479"/>
        <s v="Order id = 480"/>
        <s v="Order id = 481"/>
        <s v="Order id = 482"/>
        <s v="Order id = 483"/>
        <s v="Order id = 484"/>
        <s v="Order id = 485"/>
        <s v="Order id = 486"/>
        <s v="Order id = 487"/>
        <s v="Order id = 488"/>
        <s v="Order id = 489"/>
        <s v="Order id = 490"/>
        <s v="Order id = 491"/>
        <s v="Order id = 492"/>
        <s v="Order id = 493"/>
        <s v="Order id = 494"/>
        <s v="Order id = 495"/>
        <s v="Order id = 496"/>
        <s v="Order id = 497"/>
        <s v="Order id = 498"/>
        <s v="Order id = 499"/>
        <s v="Order id = 500"/>
        <s v="Order id = 501"/>
        <s v="Order id = 502"/>
        <s v="Order id = 503"/>
        <s v="Order id = 504"/>
        <s v="Order id = 505"/>
        <s v="Order id = 506"/>
        <s v="Order id = 507"/>
        <s v="Order id = 508"/>
        <s v="Order id = 509"/>
        <s v="Order id = 510"/>
        <s v="Order id = 511"/>
        <s v="Order id = 512"/>
        <s v="Order id = 513"/>
        <s v="Order id = 514"/>
        <s v="Order id = 515"/>
        <s v="Order id = 516"/>
        <s v="Order id = 517"/>
        <s v="Order id = 518"/>
        <s v="Order id = 519"/>
        <s v="Order id = 520"/>
        <s v="Order id = 521"/>
        <s v="Order id = 522"/>
        <s v="Order id = 523"/>
        <s v="Order id = 524"/>
        <s v="Order id = 525"/>
        <s v="Order id = 526"/>
        <s v="Order id = 527"/>
        <s v="Order id = 528"/>
        <s v="Order id = 529"/>
        <s v="Order id = 530"/>
        <s v="Order id = 531"/>
        <s v="Order id = 532"/>
        <s v="Order id = 533"/>
        <s v="Order id = 534"/>
        <s v="Order id = 535"/>
        <s v="Order id = 536"/>
        <s v="Order id = 537"/>
        <s v="Order id = 538"/>
        <s v="Order id = 539"/>
        <s v="Order id = 540"/>
        <s v="Order id = 541"/>
        <s v="Order id = 542"/>
        <s v="Order id = 543"/>
        <s v="Order id = 544"/>
        <s v="Order id = 545"/>
        <s v="Order id = 546"/>
        <s v="Order id = 547"/>
        <s v="Order id = 548"/>
        <s v="Order id = 549"/>
        <s v="Order id = 550"/>
        <s v="Order id = 551"/>
        <s v="Order id = 552"/>
        <s v="Order id = 553"/>
        <s v="Order id = 554"/>
        <s v="Order id = 555"/>
        <s v="Order id = 556"/>
        <s v="Order id = 557"/>
        <s v="Order id = 558"/>
        <s v="Order id = 559"/>
        <s v="Order id = 560"/>
        <s v="Order id = 561"/>
        <s v="Order id = 562"/>
        <s v="Order id = 563"/>
        <s v="Order id = 564"/>
        <s v="Order id = 565"/>
        <s v="Order id = 566"/>
        <s v="Order id = 567"/>
        <s v="Order id = 568"/>
        <s v="Order id = 569"/>
        <s v="Order id = 570"/>
        <s v="Order id = 571"/>
        <s v="Order id = 572"/>
        <s v="Order id = 573"/>
        <s v="Order id = 574"/>
        <s v="Order id = 575"/>
        <s v="Order id = 576"/>
        <s v="Order id = 577"/>
        <s v="Order id = 578"/>
        <s v="Order id = 579"/>
        <s v="Order id = 580"/>
        <s v="Order id = 581"/>
        <s v="Order id = 582"/>
        <s v="Order id = 583"/>
        <s v="Order id = 584"/>
        <s v="Order id = 585"/>
        <s v="Order id = 586"/>
        <s v="Order id = 587"/>
        <s v="Order id = 588"/>
        <s v="Order id = 589"/>
        <s v="Order id = 590"/>
        <s v="Order id = 591"/>
        <s v="Order id = 592"/>
        <s v="Order id = 593"/>
        <s v="Order id = 594"/>
        <s v="Order id = 595"/>
        <s v="Order id = 596"/>
        <s v="Order id = 597"/>
        <s v="Order id = 598"/>
        <s v="Order id = 599"/>
        <s v="Order id = 600"/>
        <s v="Order id = 601"/>
        <s v="Order id = 602"/>
        <s v="Order id = 603"/>
        <s v="Order id = 604"/>
        <s v="Order id = 605"/>
        <s v="Order id = 606"/>
        <s v="Order id = 607"/>
        <s v="Order id = 608"/>
        <s v="Order id = 609"/>
        <s v="Order id = 610"/>
        <s v="Order id = 611"/>
        <s v="Order id = 612"/>
        <s v="Order id = 613"/>
        <s v="Order id = 614"/>
        <s v="Order id = 615"/>
        <s v="Order id = 616"/>
        <s v="Order id = 617"/>
        <s v="Order id = 618"/>
        <s v="Order id = 619"/>
        <s v="Order id = 620"/>
        <s v="Order id = 621"/>
        <s v="Order id = 622"/>
        <s v="Order id = 623"/>
        <s v="Order id = 624"/>
        <s v="Order id = 625"/>
        <s v="Order id = 626"/>
        <s v="Order id = 627"/>
        <s v="Order id = 628"/>
        <s v="Order id = 629"/>
        <s v="Order id = 630"/>
        <s v="Order id = 631"/>
        <s v="Order id = 632"/>
        <s v="Order id = 633"/>
        <s v="Order id = 634"/>
        <s v="Order id = 635"/>
        <s v="Order id = 636"/>
        <s v="Order id = 637"/>
        <s v="Order id = 638"/>
        <s v="Order id = 639"/>
        <s v="Order id = 640"/>
        <s v="Order id = 641"/>
        <s v="Order id = 642"/>
        <s v="Order id = 643"/>
        <s v="Order id = 644"/>
        <s v="Order id = 645"/>
        <s v="Order id = 646"/>
        <s v="Order id = 647"/>
        <s v="Order id = 648"/>
        <s v="Order id = 649"/>
        <s v="Order id = 650"/>
        <s v="Order id = 651"/>
        <s v="Order id = 652"/>
        <s v="Order id = 653"/>
        <s v="Order id = 654"/>
        <s v="Order id = 655"/>
        <s v="Order id = 656"/>
        <s v="Order id = 657"/>
        <s v="Order id = 658"/>
        <s v="Order id = 659"/>
        <s v="Order id = 660"/>
        <s v="Order id = 661"/>
        <s v="Order id = 662"/>
        <s v="Order id = 663"/>
        <s v="Order id = 664"/>
        <s v="Order id = 665"/>
        <s v="Order id = 666"/>
        <s v="Order id = 667"/>
        <s v="Order id = 668"/>
        <s v="Order id = 669"/>
        <s v="Order id = 670"/>
        <s v="Order id = 671"/>
        <s v="Order id = 672"/>
        <s v="Order id = 673"/>
        <s v="Order id = 674"/>
        <s v="Order id = 675"/>
        <s v="Order id = 676"/>
        <s v="Order id = 677"/>
        <s v="Order id = 678"/>
        <s v="Order id = 679"/>
        <s v="Order id = 680"/>
        <s v="Order id = 681"/>
        <s v="Order id = 682"/>
        <s v="Order id = 683"/>
        <s v="Order id = 684"/>
        <s v="Order id = 685"/>
        <s v="Order id = 686"/>
        <s v="Order id = 687"/>
        <s v="Order id = 688"/>
        <s v="Order id = 689"/>
        <s v="Order id = 690"/>
        <s v="Order id = 691"/>
        <s v="Order id = 692"/>
        <s v="Order id = 693"/>
        <s v="Order id = 694"/>
        <s v="Order id = 695"/>
        <s v="Order id = 696"/>
        <s v="Order id = 697"/>
        <s v="Order id = 698"/>
        <s v="Order id = 699"/>
        <s v="Order id = 700"/>
        <s v="Order id = 701"/>
        <s v="Order id = 702"/>
        <s v="Order id = 703"/>
        <s v="Order id = 704"/>
        <s v="Order id = 705"/>
        <s v="Order id = 706"/>
        <s v="Order id = 707"/>
        <s v="Order id = 708"/>
        <s v="Order id = 709"/>
        <s v="Order id = 710"/>
        <s v="Order id = 711"/>
        <s v="Order id = 712"/>
        <s v="Order id = 713"/>
        <s v="Order id = 714"/>
        <s v="Order id = 715"/>
        <s v="Order id = 716"/>
        <s v="Order id = 717"/>
        <s v="Order id = 718"/>
        <s v="Order id = 719"/>
        <s v="Order id = 720"/>
        <s v="Order id = 721"/>
        <s v="Order id = 722"/>
        <s v="Order id = 723"/>
        <s v="Order id = 724"/>
        <s v="Order id = 725"/>
        <s v="Order id = 726"/>
        <s v="Order id = 727"/>
        <s v="Order id = 728"/>
        <s v="Order id = 729"/>
        <s v="Order id = 730"/>
        <s v="Order id = 731"/>
        <s v="Order id = 732"/>
        <s v="Order id = 733"/>
        <s v="Order id = 734"/>
        <s v="Order id = 735"/>
        <s v="Order id = 736"/>
        <s v="Order id = 737"/>
        <s v="Order id = 738"/>
        <s v="Order id = 739"/>
        <s v="Order id = 740"/>
        <s v="Order id = 741"/>
        <s v="Order id = 742"/>
        <s v="Order id = 743"/>
        <s v="Order id = 744"/>
        <s v="Order id = 745"/>
        <s v="Order id = 746"/>
        <s v="Order id = 747"/>
        <s v="Order id = 748"/>
        <s v="Order id = 749"/>
        <s v="Order id = 750"/>
        <s v="Order id = 751"/>
        <s v="Order id = 752"/>
        <s v="Order id = 753"/>
        <s v="Order id = 754"/>
        <s v="Order id = 755"/>
        <s v="Order id = 756"/>
        <s v="Order id = 757"/>
        <s v="Order id = 758"/>
        <s v="Order id = 759"/>
        <s v="Order id = 760"/>
        <s v="Order id = 761"/>
        <s v="Order id = 762"/>
        <s v="Order id = 763"/>
        <s v="Order id = 764"/>
        <s v="Order id = 765"/>
        <s v="Order id = 766"/>
        <s v="Order id = 767"/>
        <s v="Order id = 768"/>
        <s v="Order id = 769"/>
        <s v="Order id = 770"/>
        <s v="Order id = 771"/>
        <s v="Order id = 772"/>
        <s v="Order id = 773"/>
        <s v="Order id = 774"/>
        <s v="Order id = 775"/>
        <s v="Order id = 776"/>
        <s v="Order id = 777"/>
        <s v="Order id = 778"/>
        <s v="Order id = 779"/>
        <s v="Order id = 780"/>
        <s v="Order id = 781"/>
        <s v="Order id = 782"/>
        <s v="Order id = 783"/>
        <s v="Order id = 784"/>
        <s v="Order id = 785"/>
        <s v="Order id = 786"/>
        <s v="Order id = 787"/>
        <s v="Order id = 788"/>
        <s v="Order id = 789"/>
        <s v="Order id = 790"/>
        <s v="Order id = 791"/>
        <s v="Order id = 792"/>
        <s v="Order id = 793"/>
        <s v="Order id = 794"/>
        <s v="Order id = 795"/>
        <s v="Order id = 796"/>
        <s v="Order id = 797"/>
        <s v="Order id = 798"/>
        <s v="Order id = 799"/>
        <s v="Order id = 800"/>
        <s v="Order id = 801"/>
        <s v="Order id = 802"/>
        <s v="Order id = 803"/>
        <s v="Order id = 804"/>
        <s v="Order id = 805"/>
        <s v="Order id = 806"/>
        <s v="Order id = 807"/>
        <s v="Order id = 808"/>
        <s v="Order id = 809"/>
        <s v="Order id = 810"/>
        <s v="Order id = 811"/>
        <s v="Order id = 812"/>
        <s v="Order id = 813"/>
        <s v="Order id = 814"/>
        <s v="Order id = 815"/>
        <s v="Order id = 816"/>
        <s v="Order id = 817"/>
        <s v="Order id = 818"/>
        <s v="Order id = 819"/>
        <s v="Order id = 820"/>
        <s v="Order id = 821"/>
        <s v="Order id = 822"/>
        <s v="Order id = 823"/>
        <s v="Order id = 824"/>
        <s v="Order id = 825"/>
        <s v="Order id = 826"/>
        <s v="Order id = 827"/>
        <s v="Order id = 828"/>
        <s v="Order id = 829"/>
        <s v="Order id = 830"/>
        <s v="Order id = 831"/>
        <s v="Order id = 832"/>
        <s v="Order id = 833"/>
        <s v="Order id = 834"/>
        <s v="Order id = 835"/>
        <s v="Order id = 836"/>
        <s v="Order id = 837"/>
        <s v="Order id = 838"/>
        <s v="Order id = 839"/>
        <s v="Order id = 840"/>
        <s v="Order id = 841"/>
        <s v="Order id = 842"/>
        <s v="Order id = 843"/>
        <s v="Order id = 844"/>
        <s v="Order id = 845"/>
        <s v="Order id = 846"/>
        <s v="Order id = 847"/>
        <s v="Order id = 848"/>
        <s v="Order id = 849"/>
        <s v="Order id = 850"/>
        <s v="Order id = 851"/>
        <s v="Order id = 852"/>
        <s v="Order id = 853"/>
        <s v="Order id = 854"/>
        <s v="Order id = 855"/>
        <s v="Order id = 856"/>
        <s v="Order id = 857"/>
        <s v="Order id = 858"/>
        <s v="Order id = 859"/>
        <s v="Order id = 860"/>
        <s v="Order id = 861"/>
        <s v="Order id = 862"/>
        <s v="Order id = 863"/>
        <s v="Order id = 864"/>
        <s v="Order id = 865"/>
        <s v="Order id = 866"/>
        <s v="Order id = 867"/>
        <s v="Order id = 868"/>
        <s v="Order id = 869"/>
        <s v="Order id = 870"/>
        <s v="Order id = 871"/>
        <s v="Order id = 872"/>
        <s v="Order id = 873"/>
        <s v="Order id = 874"/>
        <s v="Order id = 875"/>
        <s v="Order id = 876"/>
        <s v="Order id = 877"/>
        <s v="Order id = 878"/>
        <s v="Order id = 879"/>
        <s v="Order id = 880"/>
        <s v="Order id = 881"/>
        <s v="Order id = 882"/>
        <s v="Order id = 883"/>
        <s v="Order id = 884"/>
        <s v="Order id = 885"/>
        <s v="Order id = 886"/>
        <s v="Order id = 887"/>
        <s v="Order id = 888"/>
        <s v="Order id = 889"/>
        <s v="Order id = 890"/>
        <s v="Order id = 891"/>
        <s v="Order id = 892"/>
        <s v="Order id = 893"/>
        <s v="Order id = 894"/>
        <s v="Order id = 895"/>
        <s v="Order id = 896"/>
        <s v="Order id = 897"/>
        <s v="Order id = 898"/>
        <s v="Order id = 899"/>
        <s v="Order id = 900"/>
        <s v="Order id = 901"/>
        <s v="Order id = 902"/>
        <s v="Order id = 903"/>
        <s v="Order id = 904"/>
        <s v="Order id = 905"/>
        <s v="Order id = 906"/>
        <s v="Order id = 907"/>
        <s v="Order id = 908"/>
        <s v="Order id = 909"/>
        <s v="Order id = 910"/>
        <s v="Order id = 911"/>
        <s v="Order id = 912"/>
        <s v="Order id = 913"/>
        <s v="Order id = 914"/>
        <s v="Order id = 915"/>
        <s v="Order id = 916"/>
        <s v="Order id = 917"/>
        <s v="Order id = 918"/>
        <s v="Order id = 919"/>
        <s v="Order id = 920"/>
        <s v="Order id = 921"/>
        <s v="Order id = 922"/>
        <s v="Order id = 923"/>
        <s v="Order id = 924"/>
        <s v="Order id = 925"/>
        <s v="Order id = 926"/>
        <s v="Order id = 927"/>
        <s v="Order id = 928"/>
        <s v="Order id = 929"/>
        <s v="Order id = 930"/>
        <s v="Order id = 931"/>
        <s v="Order id = 932"/>
        <s v="Order id = 933"/>
        <s v="Order id = 934"/>
        <s v="Order id = 935"/>
        <s v="Order id = 936"/>
        <s v="Order id = 937"/>
        <s v="Order id = 938"/>
        <s v="Order id = 939"/>
        <s v="Order id = 940"/>
        <s v="Order id = 941"/>
        <s v="Order id = 942"/>
        <s v="Order id = 943"/>
        <s v="Order id = 944"/>
        <s v="Order id = 945"/>
        <s v="Order id = 946"/>
        <s v="Order id = 947"/>
        <s v="Order id = 948"/>
        <s v="Order id = 949"/>
        <s v="Order id = 950"/>
        <s v="Order id = 951"/>
        <s v="Order id = 952"/>
        <s v="Order id = 953"/>
        <s v="Order id = 954"/>
        <s v="Order id = 955"/>
        <s v="Order id = 956"/>
        <s v="Order id = 957"/>
        <s v="Order id = 958"/>
        <s v="Order id = 959"/>
        <s v="Order id = 960"/>
        <s v="Order id = 961"/>
        <s v="Order id = 962"/>
        <s v="Order id = 963"/>
        <s v="Order id = 964"/>
        <s v="Order id = 965"/>
        <s v="Order id = 966"/>
        <s v="Order id = 967"/>
        <s v="Order id = 968"/>
        <s v="Order id = 969"/>
        <s v="Order id = 970"/>
        <s v="Order id = 971"/>
        <s v="Order id = 972"/>
        <s v="Order id = 973"/>
        <s v="Order id = 974"/>
        <s v="Order id = 975"/>
        <s v="Order id = 976"/>
        <s v="Order id = 977"/>
        <s v="Order id = 978"/>
        <s v="Order id = 979"/>
        <s v="Order id = 980"/>
        <s v="Order id = 981"/>
        <s v="Order id = 982"/>
        <s v="Order id = 983"/>
        <s v="Order id = 984"/>
        <s v="Order id = 985"/>
        <s v="Order id = 986"/>
        <s v="Order id = 987"/>
        <s v="Order id = 988"/>
        <s v="Order id = 989"/>
        <s v="Order id = 990"/>
        <s v="Order id = 991"/>
        <s v="Order id = 992"/>
        <s v="Order id = 993"/>
        <s v="Order id = 994"/>
        <s v="Order id = 995"/>
        <s v="Order id = 996"/>
        <s v="Order id = 997"/>
        <s v="Order id = 998"/>
        <s v="Order id = 999"/>
        <s v="Order id = 1000"/>
        <s v="Order id = 1001"/>
        <s v="Order id = 1002"/>
        <s v="Order id = 1003"/>
        <s v="Order id = 1004"/>
        <s v="Order id = 1005"/>
        <s v="Order id = 1006"/>
        <s v="Order id = 1007"/>
        <s v="Order id = 1008"/>
        <s v="Order id = 1009"/>
        <s v="Order id = 1010"/>
        <s v="Order id = 1011"/>
        <s v="Order id = 1012"/>
        <s v="Order id = 1013"/>
        <s v="Order id = 1014"/>
        <s v="Order id = 1015"/>
        <s v="Order id = 1016"/>
        <s v="Order id = 1017"/>
        <s v="Order id = 1018"/>
        <s v="Order id = 1019"/>
        <s v="Order id = 1020"/>
        <s v="Order id = 1021"/>
        <s v="Order id = 1022"/>
        <s v="Order id = 1023"/>
        <s v="Order id = 1024"/>
        <s v="Order id = 1025"/>
        <s v="Order id = 1026"/>
        <s v="Order id = 1027"/>
        <s v="Order id = 1028"/>
        <s v="Order id = 1029"/>
        <s v="Order id = 1030"/>
        <s v="Order id = 1031"/>
        <s v="Order id = 1032"/>
        <s v="Order id = 1033"/>
        <s v="Order id = 1034"/>
        <s v="Order id = 1035"/>
        <s v="Order id = 1036"/>
        <s v="Order id = 1037"/>
        <s v="Order id = 1038"/>
        <s v="Order id = 1039"/>
        <s v="Order id = 1040"/>
        <s v="Order id = 1041"/>
        <s v="Order id = 1042"/>
        <s v="Order id = 1043"/>
        <s v="Order id = 1044"/>
        <s v="Order id = 1045"/>
        <s v="Order id = 1046"/>
        <s v="Order id = 1047"/>
        <s v="Order id = 1048"/>
        <s v="Order id = 1049"/>
        <s v="Order id = 1050"/>
        <s v="Order id = 1051"/>
        <s v="Order id = 1052"/>
        <s v="Order id = 1053"/>
        <s v="Order id = 1054"/>
        <s v="Order id = 1055"/>
        <s v="Order id = 1056"/>
        <s v="Order id = 1057"/>
        <s v="Order id = 1058"/>
        <s v="Order id = 1059"/>
        <s v="Order id = 1060"/>
        <s v="Order id = 1061"/>
        <s v="Order id = 1062"/>
        <s v="Order id = 1063"/>
        <s v="Order id = 1064"/>
        <s v="Order id = 1065"/>
        <s v="Order id = 1066"/>
        <s v="Order id = 1067"/>
        <s v="Order id = 1068"/>
        <s v="Order id = 1069"/>
        <s v="Order id = 1070"/>
        <s v="Order id = 1071"/>
        <s v="Order id = 1072"/>
        <s v="Order id = 1073"/>
        <s v="Order id = 1074"/>
        <s v="Order id = 1075"/>
        <s v="Order id = 1076"/>
        <s v="Order id = 1077"/>
        <s v="Order id = 1078"/>
        <s v="Order id = 1079"/>
        <s v="Order id = 1080"/>
        <s v="Order id = 1081"/>
        <s v="Order id = 1082"/>
        <s v="Order id = 1083"/>
        <s v="Order id = 1084"/>
        <s v="Order id = 1085"/>
        <s v="Order id = 1086"/>
        <s v="Order id = 1087"/>
        <s v="Order id = 1088"/>
        <s v="Order id = 1089"/>
        <s v="Order id = 1090"/>
        <s v="Order id = 1091"/>
        <s v="Order id = 1092"/>
        <s v="Order id = 1093"/>
        <s v="Order id = 1094"/>
        <s v="Order id = 1095"/>
        <s v="Order id = 1096"/>
        <s v="Order id = 1097"/>
        <s v="Order id = 1098"/>
        <s v="Order id = 1099"/>
        <s v="Order id = 1100"/>
        <s v="Order id = 1101"/>
        <s v="Order id = 1102"/>
        <s v="Order id = 1103"/>
        <s v="Order id = 1104"/>
        <s v="Order id = 1105"/>
        <s v="Order id = 1106"/>
        <s v="Order id = 1107"/>
        <s v="Order id = 1108"/>
        <s v="Order id = 1109"/>
        <s v="Order id = 1110"/>
        <s v="Order id = 1111"/>
        <s v="Order id = 1112"/>
        <s v="Order id = 1113"/>
        <s v="Order id = 1114"/>
        <s v="Order id = 1115"/>
        <s v="Order id = 1116"/>
        <s v="Order id = 1117"/>
        <s v="Order id = 1118"/>
        <s v="Order id = 1119"/>
        <s v="Order id = 1120"/>
        <s v="Order id = 1121"/>
        <s v="Order id = 1122"/>
        <s v="Order id = 1123"/>
        <s v="Order id = 1124"/>
        <s v="Order id = 1125"/>
        <s v="Order id = 1126"/>
        <s v="Order id = 1127"/>
        <s v="Order id = 1128"/>
        <s v="Order id = 1129"/>
        <s v="Order id = 1130"/>
        <s v="Order id = 1131"/>
        <s v="Order id = 1132"/>
        <s v="Order id = 1133"/>
        <s v="Order id = 1134"/>
        <s v="Order id = 1135"/>
        <s v="Order id = 1136"/>
        <s v="Order id = 1137"/>
        <s v="Order id = 1138"/>
        <s v="Order id = 1139"/>
        <s v="Order id = 1140"/>
        <s v="Order id = 1141"/>
        <s v="Order id = 1142"/>
        <s v="Order id = 1143"/>
        <s v="Order id = 1144"/>
        <s v="Order id = 1145"/>
        <s v="Order id = 1146"/>
        <s v="Order id = 1147"/>
        <s v="Order id = 1148"/>
        <s v="Order id = 1149"/>
        <s v="Order id = 1150"/>
        <s v="Order id = 1151"/>
        <s v="Order id = 1152"/>
        <s v="Order id = 1153"/>
        <s v="Order id = 1154"/>
        <s v="Order id = 1155"/>
        <s v="Order id = 1156"/>
        <s v="Order id = 1157"/>
        <s v="Order id = 1158"/>
        <s v="Order id = 1159"/>
        <s v="Order id = 1160"/>
        <s v="Order id = 1161"/>
        <s v="Order id = 1162"/>
        <s v="Order id = 1163"/>
        <s v="Order id = 1164"/>
        <s v="Order id = 1165"/>
        <s v="Order id = 1166"/>
        <s v="Order id = 1167"/>
        <s v="Order id = 1168"/>
        <s v="Order id = 1169"/>
        <s v="Order id = 1170"/>
        <s v="Order id = 1171"/>
        <s v="Order id = 1172"/>
        <s v="Order id = 1173"/>
        <s v="Order id = 1174"/>
        <s v="Order id = 1175"/>
        <s v="Order id = 1176"/>
        <s v="Order id = 1177"/>
        <s v="Order id = 1178"/>
        <s v="Order id = 1179"/>
        <s v="Order id = 1180"/>
        <s v="Order id = 1181"/>
        <s v="Order id = 1182"/>
        <s v="Order id = 1183"/>
        <s v="Order id = 1184"/>
        <s v="Order id = 1185"/>
        <s v="Order id = 1186"/>
        <s v="Order id = 1187"/>
        <s v="Order id = 1188"/>
        <s v="Order id = 1189"/>
        <s v="Order id = 1190"/>
        <s v="Order id = 1191"/>
        <s v="Order id = 1192"/>
        <s v="Order id = 1193"/>
        <s v="Order id = 1194"/>
        <s v="Order id = 1195"/>
        <s v="Order id = 1196"/>
        <s v="Order id = 1197"/>
        <s v="Order id = 1198"/>
        <s v="Order id = 1199"/>
        <s v="Order id = 1200"/>
        <s v="Order id = 1201"/>
        <s v="Order id = 1202"/>
        <s v="Order id = 1203"/>
        <s v="Order id = 1204"/>
        <s v="Order id = 1205"/>
        <s v="Order id = 1206"/>
        <s v="Order id = 1207"/>
        <s v="Order id = 1208"/>
        <s v="Order id = 1209"/>
        <s v="Order id = 1210"/>
        <s v="Order id = 1211"/>
        <s v="Order id = 1212"/>
        <s v="Order id = 1213"/>
        <s v="Order id = 1214"/>
        <s v="Order id = 1215"/>
        <s v="Order id = 1216"/>
        <s v="Order id = 1217"/>
        <s v="Order id = 1218"/>
        <s v="Order id = 1219"/>
        <s v="Order id = 1220"/>
        <s v="Order id = 1221"/>
        <s v="Order id = 1222"/>
        <s v="Order id = 1223"/>
        <s v="Order id = 1224"/>
        <s v="Order id = 1225"/>
        <s v="Order id = 1226"/>
        <s v="Order id = 1227"/>
        <s v="Order id = 1228"/>
        <s v="Order id = 1229"/>
        <s v="Order id = 1230"/>
        <s v="Order id = 1231"/>
        <s v="Order id = 1232"/>
        <s v="Order id = 1233"/>
        <s v="Order id = 1234"/>
        <s v="Order id = 1235"/>
        <s v="Order id = 1236"/>
        <s v="Order id = 1237"/>
        <s v="Order id = 1238"/>
        <s v="Order id = 1239"/>
        <s v="Order id = 1240"/>
        <s v="Order id = 1241"/>
        <s v="Order id = 1242"/>
        <s v="Order id = 1243"/>
        <s v="Order id = 1244"/>
        <s v="Order id = 1245"/>
        <s v="Order id = 1246"/>
        <s v="Order id = 1247"/>
        <s v="Order id = 1248"/>
        <s v="Order id = 1249"/>
        <s v="Order id = 1250"/>
        <s v="Order id = 1251"/>
        <s v="Order id = 1252"/>
        <s v="Order id = 1253"/>
        <s v="Order id = 1254"/>
        <s v="Order id = 1255"/>
        <s v="Order id = 1256"/>
        <s v="Order id = 1257"/>
        <s v="Order id = 1258"/>
        <s v="Order id = 1259"/>
        <s v="Order id = 1260"/>
        <s v="Order id = 1261"/>
        <s v="Order id = 1262"/>
        <s v="Order id = 1263"/>
        <s v="Order id = 1264"/>
        <s v="Order id = 1265"/>
        <s v="Order id = 1266"/>
        <s v="Order id = 1267"/>
        <s v="Order id = 1268"/>
        <s v="Order id = 1269"/>
        <s v="Order id = 1270"/>
        <s v="Order id = 1271"/>
        <s v="Order id = 1272"/>
        <s v="Order id = 1273"/>
        <s v="Order id = 1274"/>
        <s v="Order id = 1275"/>
        <s v="Order id = 1276"/>
        <s v="Order id = 1277"/>
        <s v="Order id = 1278"/>
        <s v="Order id = 1279"/>
        <s v="Order id = 1280"/>
        <s v="Order id = 1281"/>
        <s v="Order id = 1282"/>
        <s v="Order id = 1283"/>
        <s v="Order id = 1284"/>
        <s v="Order id = 1285"/>
        <s v="Order id = 1286"/>
        <s v="Order id = 1287"/>
        <s v="Order id = 1288"/>
        <s v="Order id = 1289"/>
        <s v="Order id = 1290"/>
        <s v="Order id = 1291"/>
        <s v="Order id = 1292"/>
        <s v="Order id = 1293"/>
        <s v="Order id = 1294"/>
        <s v="Order id = 1295"/>
        <s v="Order id = 1296"/>
        <s v="Order id = 1297"/>
        <s v="Order id = 1298"/>
        <s v="Order id = 1299"/>
        <s v="Order id = 1300"/>
      </sharedItems>
    </cacheField>
    <cacheField name="Date" numFmtId="0">
      <sharedItems count="31">
        <s v="01-07-2018"/>
        <s v="02-07-2018"/>
        <s v="03-07-2018"/>
        <s v="04-07-2018"/>
        <s v="05-07-2018"/>
        <s v="06-07-2018"/>
        <s v="07-07-2018"/>
        <s v="08-07-2018"/>
        <s v="09-07-2018"/>
        <s v="10-07-2018"/>
        <s v="11-07-2018"/>
        <s v="12-07-2018"/>
        <s v="13-07-2018"/>
        <s v="14-07-2018"/>
        <s v="15-07-2018"/>
        <s v="16-07-2018"/>
        <s v="17-07-2018"/>
        <s v="18-07-2018"/>
        <s v="19-07-2018"/>
        <s v="20-07-2018"/>
        <s v="21-07-2018"/>
        <s v="22-07-2018"/>
        <s v="23-07-2018"/>
        <s v="24-07-2018"/>
        <s v="25-07-2018"/>
        <s v="26-07-2018"/>
        <s v="27-07-2018"/>
        <s v="28-07-2018"/>
        <s v="29-07-2018"/>
        <s v="30-07-2018"/>
        <s v="31-07-2018"/>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Quantity" numFmtId="0">
      <sharedItems containsSemiMixedTypes="0" containsString="0" containsNumber="1" containsInteger="1" minValue="2" maxValue="23"/>
    </cacheField>
    <cacheField name="Price" numFmtId="0">
      <sharedItems containsSemiMixedTypes="0" containsString="0" containsNumber="1" containsInteger="1" minValue="16" maxValue="230"/>
    </cacheField>
    <cacheField name="Total sales" numFmtId="0">
      <sharedItems containsSemiMixedTypes="0" containsString="0" containsNumber="1" containsInteger="1" minValue="32" maxValue="5290"/>
    </cacheField>
    <cacheField name="Commission" numFmtId="0">
      <sharedItems containsSemiMixedTypes="0" containsString="0" containsNumber="1" minValue="0.01" maxValue="0.12"/>
    </cacheField>
    <cacheField name="Total Commission" numFmtId="0">
      <sharedItems containsSemiMixedTypes="0" containsString="0" containsNumber="1" minValue="0.96" maxValue="556.6"/>
    </cacheField>
    <cacheField name="State" numFmtId="0">
      <sharedItems count="12">
        <s v="Meghalaya"/>
        <s v="Uttar Pradesh"/>
        <s v="Maharashtra"/>
        <s v="Delhi"/>
        <s v="West Bengal"/>
        <s v="Bihar"/>
        <s v="Goa"/>
        <s v="Karnataka"/>
        <s v="Gujarat"/>
        <s v="Jharkhand"/>
        <s v="Haryana"/>
        <s v="Kerala"/>
      </sharedItems>
    </cacheField>
  </cacheFields>
  <extLst>
    <ext xmlns:x14="http://schemas.microsoft.com/office/spreadsheetml/2009/9/main" uri="{725AE2AE-9491-48be-B2B4-4EB974FC3084}">
      <x14:pivotCacheDefinition pivotCacheId="6899264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0">
  <r>
    <x v="0"/>
    <x v="0"/>
    <x v="0"/>
    <x v="0"/>
    <n v="10"/>
    <n v="80"/>
    <n v="800"/>
    <n v="0.01"/>
    <n v="8"/>
    <x v="0"/>
  </r>
  <r>
    <x v="1"/>
    <x v="0"/>
    <x v="1"/>
    <x v="1"/>
    <n v="14"/>
    <n v="40"/>
    <n v="560"/>
    <n v="0.06"/>
    <n v="33.6"/>
    <x v="1"/>
  </r>
  <r>
    <x v="2"/>
    <x v="0"/>
    <x v="2"/>
    <x v="1"/>
    <n v="22"/>
    <n v="230"/>
    <n v="5060"/>
    <n v="0.11"/>
    <n v="556.6"/>
    <x v="2"/>
  </r>
  <r>
    <x v="3"/>
    <x v="0"/>
    <x v="2"/>
    <x v="0"/>
    <n v="8"/>
    <n v="230"/>
    <n v="1840"/>
    <n v="0.03"/>
    <n v="55.199999999999996"/>
    <x v="3"/>
  </r>
  <r>
    <x v="4"/>
    <x v="0"/>
    <x v="2"/>
    <x v="2"/>
    <n v="12"/>
    <n v="230"/>
    <n v="2760"/>
    <n v="0.03"/>
    <n v="82.8"/>
    <x v="4"/>
  </r>
  <r>
    <x v="5"/>
    <x v="0"/>
    <x v="0"/>
    <x v="3"/>
    <n v="19"/>
    <n v="80"/>
    <n v="1520"/>
    <n v="0.02"/>
    <n v="30.400000000000002"/>
    <x v="5"/>
  </r>
  <r>
    <x v="6"/>
    <x v="0"/>
    <x v="3"/>
    <x v="4"/>
    <n v="17"/>
    <n v="16"/>
    <n v="272"/>
    <n v="0.08"/>
    <n v="21.76"/>
    <x v="6"/>
  </r>
  <r>
    <x v="7"/>
    <x v="0"/>
    <x v="4"/>
    <x v="3"/>
    <n v="7"/>
    <n v="150"/>
    <n v="1050"/>
    <n v="0.05"/>
    <n v="52.5"/>
    <x v="7"/>
  </r>
  <r>
    <x v="8"/>
    <x v="0"/>
    <x v="4"/>
    <x v="3"/>
    <n v="20"/>
    <n v="150"/>
    <n v="3000"/>
    <n v="0.1"/>
    <n v="300"/>
    <x v="8"/>
  </r>
  <r>
    <x v="9"/>
    <x v="0"/>
    <x v="3"/>
    <x v="0"/>
    <n v="21"/>
    <n v="16"/>
    <n v="336"/>
    <n v="0.09"/>
    <n v="30.24"/>
    <x v="9"/>
  </r>
  <r>
    <x v="10"/>
    <x v="0"/>
    <x v="2"/>
    <x v="1"/>
    <n v="7"/>
    <n v="230"/>
    <n v="1610"/>
    <n v="0.01"/>
    <n v="16.100000000000001"/>
    <x v="10"/>
  </r>
  <r>
    <x v="11"/>
    <x v="1"/>
    <x v="0"/>
    <x v="3"/>
    <n v="7"/>
    <n v="80"/>
    <n v="560"/>
    <n v="7.0000000000000007E-2"/>
    <n v="39.200000000000003"/>
    <x v="11"/>
  </r>
  <r>
    <x v="12"/>
    <x v="1"/>
    <x v="0"/>
    <x v="4"/>
    <n v="9"/>
    <n v="80"/>
    <n v="720"/>
    <n v="0.02"/>
    <n v="14.4"/>
    <x v="0"/>
  </r>
  <r>
    <x v="13"/>
    <x v="1"/>
    <x v="1"/>
    <x v="4"/>
    <n v="16"/>
    <n v="40"/>
    <n v="640"/>
    <n v="0.09"/>
    <n v="57.599999999999994"/>
    <x v="1"/>
  </r>
  <r>
    <x v="14"/>
    <x v="1"/>
    <x v="4"/>
    <x v="1"/>
    <n v="23"/>
    <n v="150"/>
    <n v="3450"/>
    <n v="0.11"/>
    <n v="379.5"/>
    <x v="2"/>
  </r>
  <r>
    <x v="15"/>
    <x v="1"/>
    <x v="3"/>
    <x v="3"/>
    <n v="22"/>
    <n v="16"/>
    <n v="352"/>
    <n v="0.03"/>
    <n v="10.559999999999999"/>
    <x v="3"/>
  </r>
  <r>
    <x v="16"/>
    <x v="1"/>
    <x v="1"/>
    <x v="3"/>
    <n v="23"/>
    <n v="40"/>
    <n v="920"/>
    <n v="0.06"/>
    <n v="55.199999999999996"/>
    <x v="4"/>
  </r>
  <r>
    <x v="17"/>
    <x v="1"/>
    <x v="0"/>
    <x v="0"/>
    <n v="20"/>
    <n v="80"/>
    <n v="1600"/>
    <n v="0.01"/>
    <n v="16"/>
    <x v="5"/>
  </r>
  <r>
    <x v="18"/>
    <x v="2"/>
    <x v="0"/>
    <x v="3"/>
    <n v="11"/>
    <n v="80"/>
    <n v="880"/>
    <n v="0.01"/>
    <n v="8.8000000000000007"/>
    <x v="6"/>
  </r>
  <r>
    <x v="19"/>
    <x v="2"/>
    <x v="1"/>
    <x v="3"/>
    <n v="9"/>
    <n v="40"/>
    <n v="360"/>
    <n v="0.06"/>
    <n v="21.599999999999998"/>
    <x v="7"/>
  </r>
  <r>
    <x v="20"/>
    <x v="2"/>
    <x v="0"/>
    <x v="4"/>
    <n v="16"/>
    <n v="80"/>
    <n v="1280"/>
    <n v="0.09"/>
    <n v="115.19999999999999"/>
    <x v="8"/>
  </r>
  <r>
    <x v="21"/>
    <x v="2"/>
    <x v="0"/>
    <x v="2"/>
    <n v="10"/>
    <n v="80"/>
    <n v="800"/>
    <n v="0.08"/>
    <n v="64"/>
    <x v="9"/>
  </r>
  <r>
    <x v="22"/>
    <x v="2"/>
    <x v="3"/>
    <x v="2"/>
    <n v="12"/>
    <n v="16"/>
    <n v="192"/>
    <n v="0.11"/>
    <n v="21.12"/>
    <x v="10"/>
  </r>
  <r>
    <x v="23"/>
    <x v="2"/>
    <x v="4"/>
    <x v="3"/>
    <n v="6"/>
    <n v="150"/>
    <n v="900"/>
    <n v="0.03"/>
    <n v="27"/>
    <x v="11"/>
  </r>
  <r>
    <x v="24"/>
    <x v="2"/>
    <x v="3"/>
    <x v="2"/>
    <n v="11"/>
    <n v="16"/>
    <n v="176"/>
    <n v="0.04"/>
    <n v="7.04"/>
    <x v="0"/>
  </r>
  <r>
    <x v="25"/>
    <x v="2"/>
    <x v="0"/>
    <x v="3"/>
    <n v="22"/>
    <n v="80"/>
    <n v="1760"/>
    <n v="0.03"/>
    <n v="52.8"/>
    <x v="1"/>
  </r>
  <r>
    <x v="26"/>
    <x v="2"/>
    <x v="3"/>
    <x v="1"/>
    <n v="7"/>
    <n v="16"/>
    <n v="112"/>
    <n v="0.08"/>
    <n v="8.9600000000000009"/>
    <x v="2"/>
  </r>
  <r>
    <x v="27"/>
    <x v="2"/>
    <x v="1"/>
    <x v="3"/>
    <n v="13"/>
    <n v="40"/>
    <n v="520"/>
    <n v="0.09"/>
    <n v="46.8"/>
    <x v="3"/>
  </r>
  <r>
    <x v="28"/>
    <x v="2"/>
    <x v="2"/>
    <x v="3"/>
    <n v="8"/>
    <n v="230"/>
    <n v="1840"/>
    <n v="0.05"/>
    <n v="92"/>
    <x v="4"/>
  </r>
  <r>
    <x v="29"/>
    <x v="2"/>
    <x v="3"/>
    <x v="3"/>
    <n v="14"/>
    <n v="16"/>
    <n v="224"/>
    <n v="0.12"/>
    <n v="26.88"/>
    <x v="5"/>
  </r>
  <r>
    <x v="30"/>
    <x v="2"/>
    <x v="1"/>
    <x v="4"/>
    <n v="16"/>
    <n v="40"/>
    <n v="640"/>
    <n v="0.09"/>
    <n v="57.599999999999994"/>
    <x v="6"/>
  </r>
  <r>
    <x v="31"/>
    <x v="3"/>
    <x v="4"/>
    <x v="1"/>
    <n v="16"/>
    <n v="150"/>
    <n v="2400"/>
    <n v="0.05"/>
    <n v="120"/>
    <x v="7"/>
  </r>
  <r>
    <x v="32"/>
    <x v="3"/>
    <x v="1"/>
    <x v="1"/>
    <n v="12"/>
    <n v="40"/>
    <n v="480"/>
    <n v="0.1"/>
    <n v="48"/>
    <x v="8"/>
  </r>
  <r>
    <x v="33"/>
    <x v="3"/>
    <x v="0"/>
    <x v="4"/>
    <n v="17"/>
    <n v="80"/>
    <n v="1360"/>
    <n v="7.0000000000000007E-2"/>
    <n v="95.2"/>
    <x v="9"/>
  </r>
  <r>
    <x v="34"/>
    <x v="3"/>
    <x v="2"/>
    <x v="3"/>
    <n v="19"/>
    <n v="230"/>
    <n v="4370"/>
    <n v="0.06"/>
    <n v="262.2"/>
    <x v="10"/>
  </r>
  <r>
    <x v="35"/>
    <x v="3"/>
    <x v="2"/>
    <x v="4"/>
    <n v="22"/>
    <n v="230"/>
    <n v="5060"/>
    <n v="0.1"/>
    <n v="506"/>
    <x v="11"/>
  </r>
  <r>
    <x v="36"/>
    <x v="3"/>
    <x v="1"/>
    <x v="3"/>
    <n v="22"/>
    <n v="40"/>
    <n v="880"/>
    <n v="0.01"/>
    <n v="8.8000000000000007"/>
    <x v="0"/>
  </r>
  <r>
    <x v="37"/>
    <x v="3"/>
    <x v="3"/>
    <x v="3"/>
    <n v="10"/>
    <n v="16"/>
    <n v="160"/>
    <n v="0.04"/>
    <n v="6.4"/>
    <x v="1"/>
  </r>
  <r>
    <x v="38"/>
    <x v="3"/>
    <x v="1"/>
    <x v="1"/>
    <n v="4"/>
    <n v="40"/>
    <n v="160"/>
    <n v="0.12"/>
    <n v="19.2"/>
    <x v="2"/>
  </r>
  <r>
    <x v="39"/>
    <x v="3"/>
    <x v="1"/>
    <x v="4"/>
    <n v="20"/>
    <n v="40"/>
    <n v="800"/>
    <n v="0.05"/>
    <n v="40"/>
    <x v="3"/>
  </r>
  <r>
    <x v="40"/>
    <x v="4"/>
    <x v="2"/>
    <x v="3"/>
    <n v="23"/>
    <n v="230"/>
    <n v="5290"/>
    <n v="0.06"/>
    <n v="317.39999999999998"/>
    <x v="4"/>
  </r>
  <r>
    <x v="41"/>
    <x v="4"/>
    <x v="1"/>
    <x v="2"/>
    <n v="20"/>
    <n v="40"/>
    <n v="800"/>
    <n v="0.01"/>
    <n v="8"/>
    <x v="5"/>
  </r>
  <r>
    <x v="42"/>
    <x v="4"/>
    <x v="4"/>
    <x v="2"/>
    <n v="20"/>
    <n v="150"/>
    <n v="3000"/>
    <n v="0.04"/>
    <n v="120"/>
    <x v="6"/>
  </r>
  <r>
    <x v="43"/>
    <x v="4"/>
    <x v="0"/>
    <x v="1"/>
    <n v="9"/>
    <n v="80"/>
    <n v="720"/>
    <n v="0.03"/>
    <n v="21.599999999999998"/>
    <x v="7"/>
  </r>
  <r>
    <x v="44"/>
    <x v="4"/>
    <x v="2"/>
    <x v="0"/>
    <n v="7"/>
    <n v="230"/>
    <n v="1610"/>
    <n v="0.02"/>
    <n v="32.200000000000003"/>
    <x v="8"/>
  </r>
  <r>
    <x v="45"/>
    <x v="4"/>
    <x v="2"/>
    <x v="0"/>
    <n v="3"/>
    <n v="230"/>
    <n v="690"/>
    <n v="0.06"/>
    <n v="41.4"/>
    <x v="9"/>
  </r>
  <r>
    <x v="46"/>
    <x v="4"/>
    <x v="4"/>
    <x v="0"/>
    <n v="13"/>
    <n v="150"/>
    <n v="1950"/>
    <n v="0.05"/>
    <n v="97.5"/>
    <x v="10"/>
  </r>
  <r>
    <x v="47"/>
    <x v="4"/>
    <x v="0"/>
    <x v="0"/>
    <n v="17"/>
    <n v="80"/>
    <n v="1360"/>
    <n v="0.09"/>
    <n v="122.39999999999999"/>
    <x v="11"/>
  </r>
  <r>
    <x v="48"/>
    <x v="5"/>
    <x v="1"/>
    <x v="3"/>
    <n v="18"/>
    <n v="40"/>
    <n v="720"/>
    <n v="0.06"/>
    <n v="43.199999999999996"/>
    <x v="0"/>
  </r>
  <r>
    <x v="49"/>
    <x v="5"/>
    <x v="3"/>
    <x v="2"/>
    <n v="23"/>
    <n v="16"/>
    <n v="368"/>
    <n v="0.11"/>
    <n v="40.479999999999997"/>
    <x v="1"/>
  </r>
  <r>
    <x v="50"/>
    <x v="5"/>
    <x v="2"/>
    <x v="2"/>
    <n v="20"/>
    <n v="230"/>
    <n v="4600"/>
    <n v="0.06"/>
    <n v="276"/>
    <x v="2"/>
  </r>
  <r>
    <x v="51"/>
    <x v="5"/>
    <x v="3"/>
    <x v="0"/>
    <n v="11"/>
    <n v="16"/>
    <n v="176"/>
    <n v="0.09"/>
    <n v="15.84"/>
    <x v="3"/>
  </r>
  <r>
    <x v="52"/>
    <x v="5"/>
    <x v="4"/>
    <x v="4"/>
    <n v="15"/>
    <n v="150"/>
    <n v="2250"/>
    <n v="7.0000000000000007E-2"/>
    <n v="157.50000000000003"/>
    <x v="4"/>
  </r>
  <r>
    <x v="53"/>
    <x v="5"/>
    <x v="2"/>
    <x v="1"/>
    <n v="6"/>
    <n v="230"/>
    <n v="1380"/>
    <n v="0.1"/>
    <n v="138"/>
    <x v="5"/>
  </r>
  <r>
    <x v="54"/>
    <x v="5"/>
    <x v="1"/>
    <x v="0"/>
    <n v="22"/>
    <n v="40"/>
    <n v="880"/>
    <n v="0.02"/>
    <n v="17.600000000000001"/>
    <x v="6"/>
  </r>
  <r>
    <x v="55"/>
    <x v="5"/>
    <x v="1"/>
    <x v="0"/>
    <n v="15"/>
    <n v="40"/>
    <n v="600"/>
    <n v="0.06"/>
    <n v="36"/>
    <x v="7"/>
  </r>
  <r>
    <x v="56"/>
    <x v="5"/>
    <x v="3"/>
    <x v="2"/>
    <n v="12"/>
    <n v="16"/>
    <n v="192"/>
    <n v="0.03"/>
    <n v="5.76"/>
    <x v="8"/>
  </r>
  <r>
    <x v="57"/>
    <x v="5"/>
    <x v="3"/>
    <x v="4"/>
    <n v="22"/>
    <n v="16"/>
    <n v="352"/>
    <n v="0.12"/>
    <n v="42.239999999999995"/>
    <x v="9"/>
  </r>
  <r>
    <x v="58"/>
    <x v="5"/>
    <x v="0"/>
    <x v="0"/>
    <n v="21"/>
    <n v="80"/>
    <n v="1680"/>
    <n v="0.04"/>
    <n v="67.2"/>
    <x v="10"/>
  </r>
  <r>
    <x v="59"/>
    <x v="5"/>
    <x v="4"/>
    <x v="0"/>
    <n v="22"/>
    <n v="150"/>
    <n v="3300"/>
    <n v="0.05"/>
    <n v="165"/>
    <x v="11"/>
  </r>
  <r>
    <x v="60"/>
    <x v="5"/>
    <x v="0"/>
    <x v="4"/>
    <n v="21"/>
    <n v="80"/>
    <n v="1680"/>
    <n v="0.09"/>
    <n v="151.19999999999999"/>
    <x v="0"/>
  </r>
  <r>
    <x v="61"/>
    <x v="5"/>
    <x v="0"/>
    <x v="3"/>
    <n v="10"/>
    <n v="80"/>
    <n v="800"/>
    <n v="0.1"/>
    <n v="80"/>
    <x v="1"/>
  </r>
  <r>
    <x v="62"/>
    <x v="5"/>
    <x v="2"/>
    <x v="1"/>
    <n v="15"/>
    <n v="230"/>
    <n v="3450"/>
    <n v="0.09"/>
    <n v="310.5"/>
    <x v="2"/>
  </r>
  <r>
    <x v="63"/>
    <x v="6"/>
    <x v="0"/>
    <x v="0"/>
    <n v="14"/>
    <n v="80"/>
    <n v="1120"/>
    <n v="0.08"/>
    <n v="89.600000000000009"/>
    <x v="3"/>
  </r>
  <r>
    <x v="64"/>
    <x v="6"/>
    <x v="0"/>
    <x v="4"/>
    <n v="10"/>
    <n v="80"/>
    <n v="800"/>
    <n v="0.06"/>
    <n v="48"/>
    <x v="4"/>
  </r>
  <r>
    <x v="65"/>
    <x v="6"/>
    <x v="4"/>
    <x v="0"/>
    <n v="5"/>
    <n v="150"/>
    <n v="750"/>
    <n v="0.11"/>
    <n v="82.5"/>
    <x v="5"/>
  </r>
  <r>
    <x v="66"/>
    <x v="6"/>
    <x v="2"/>
    <x v="3"/>
    <n v="3"/>
    <n v="230"/>
    <n v="690"/>
    <n v="0.01"/>
    <n v="6.9"/>
    <x v="6"/>
  </r>
  <r>
    <x v="67"/>
    <x v="6"/>
    <x v="1"/>
    <x v="3"/>
    <n v="4"/>
    <n v="40"/>
    <n v="160"/>
    <n v="0.05"/>
    <n v="8"/>
    <x v="7"/>
  </r>
  <r>
    <x v="68"/>
    <x v="6"/>
    <x v="4"/>
    <x v="2"/>
    <n v="18"/>
    <n v="150"/>
    <n v="2700"/>
    <n v="0.06"/>
    <n v="162"/>
    <x v="8"/>
  </r>
  <r>
    <x v="69"/>
    <x v="6"/>
    <x v="1"/>
    <x v="4"/>
    <n v="20"/>
    <n v="40"/>
    <n v="800"/>
    <n v="0.1"/>
    <n v="80"/>
    <x v="9"/>
  </r>
  <r>
    <x v="70"/>
    <x v="6"/>
    <x v="0"/>
    <x v="3"/>
    <n v="16"/>
    <n v="80"/>
    <n v="1280"/>
    <n v="0.05"/>
    <n v="64"/>
    <x v="0"/>
  </r>
  <r>
    <x v="71"/>
    <x v="6"/>
    <x v="1"/>
    <x v="2"/>
    <n v="4"/>
    <n v="40"/>
    <n v="160"/>
    <n v="0.06"/>
    <n v="9.6"/>
    <x v="1"/>
  </r>
  <r>
    <x v="72"/>
    <x v="6"/>
    <x v="1"/>
    <x v="1"/>
    <n v="4"/>
    <n v="40"/>
    <n v="160"/>
    <n v="0.03"/>
    <n v="4.8"/>
    <x v="2"/>
  </r>
  <r>
    <x v="73"/>
    <x v="6"/>
    <x v="1"/>
    <x v="1"/>
    <n v="15"/>
    <n v="40"/>
    <n v="600"/>
    <n v="0.02"/>
    <n v="12"/>
    <x v="3"/>
  </r>
  <r>
    <x v="74"/>
    <x v="6"/>
    <x v="1"/>
    <x v="2"/>
    <n v="20"/>
    <n v="40"/>
    <n v="800"/>
    <n v="0.01"/>
    <n v="8"/>
    <x v="4"/>
  </r>
  <r>
    <x v="75"/>
    <x v="6"/>
    <x v="3"/>
    <x v="4"/>
    <n v="14"/>
    <n v="16"/>
    <n v="224"/>
    <n v="0.06"/>
    <n v="13.44"/>
    <x v="5"/>
  </r>
  <r>
    <x v="76"/>
    <x v="7"/>
    <x v="4"/>
    <x v="2"/>
    <n v="11"/>
    <n v="150"/>
    <n v="1650"/>
    <n v="0.11"/>
    <n v="181.5"/>
    <x v="6"/>
  </r>
  <r>
    <x v="77"/>
    <x v="7"/>
    <x v="4"/>
    <x v="2"/>
    <n v="9"/>
    <n v="150"/>
    <n v="1350"/>
    <n v="0.02"/>
    <n v="27"/>
    <x v="7"/>
  </r>
  <r>
    <x v="78"/>
    <x v="7"/>
    <x v="3"/>
    <x v="4"/>
    <n v="11"/>
    <n v="16"/>
    <n v="176"/>
    <n v="0.12"/>
    <n v="21.119999999999997"/>
    <x v="8"/>
  </r>
  <r>
    <x v="79"/>
    <x v="7"/>
    <x v="1"/>
    <x v="2"/>
    <n v="13"/>
    <n v="40"/>
    <n v="520"/>
    <n v="0.02"/>
    <n v="10.4"/>
    <x v="9"/>
  </r>
  <r>
    <x v="80"/>
    <x v="7"/>
    <x v="1"/>
    <x v="2"/>
    <n v="4"/>
    <n v="40"/>
    <n v="160"/>
    <n v="0.1"/>
    <n v="16"/>
    <x v="10"/>
  </r>
  <r>
    <x v="81"/>
    <x v="7"/>
    <x v="2"/>
    <x v="0"/>
    <n v="3"/>
    <n v="230"/>
    <n v="690"/>
    <n v="0.11"/>
    <n v="75.900000000000006"/>
    <x v="11"/>
  </r>
  <r>
    <x v="82"/>
    <x v="7"/>
    <x v="0"/>
    <x v="2"/>
    <n v="6"/>
    <n v="80"/>
    <n v="480"/>
    <n v="0.09"/>
    <n v="43.199999999999996"/>
    <x v="0"/>
  </r>
  <r>
    <x v="83"/>
    <x v="7"/>
    <x v="4"/>
    <x v="0"/>
    <n v="9"/>
    <n v="150"/>
    <n v="1350"/>
    <n v="0.1"/>
    <n v="135"/>
    <x v="1"/>
  </r>
  <r>
    <x v="84"/>
    <x v="7"/>
    <x v="0"/>
    <x v="1"/>
    <n v="14"/>
    <n v="80"/>
    <n v="1120"/>
    <n v="0.11"/>
    <n v="123.2"/>
    <x v="2"/>
  </r>
  <r>
    <x v="85"/>
    <x v="7"/>
    <x v="0"/>
    <x v="0"/>
    <n v="18"/>
    <n v="80"/>
    <n v="1440"/>
    <n v="0.02"/>
    <n v="28.8"/>
    <x v="3"/>
  </r>
  <r>
    <x v="86"/>
    <x v="7"/>
    <x v="1"/>
    <x v="0"/>
    <n v="20"/>
    <n v="40"/>
    <n v="800"/>
    <n v="0.04"/>
    <n v="32"/>
    <x v="4"/>
  </r>
  <r>
    <x v="87"/>
    <x v="8"/>
    <x v="3"/>
    <x v="2"/>
    <n v="8"/>
    <n v="16"/>
    <n v="128"/>
    <n v="0.03"/>
    <n v="3.84"/>
    <x v="5"/>
  </r>
  <r>
    <x v="88"/>
    <x v="8"/>
    <x v="0"/>
    <x v="1"/>
    <n v="14"/>
    <n v="80"/>
    <n v="1120"/>
    <n v="0.06"/>
    <n v="67.2"/>
    <x v="6"/>
  </r>
  <r>
    <x v="89"/>
    <x v="8"/>
    <x v="4"/>
    <x v="0"/>
    <n v="20"/>
    <n v="150"/>
    <n v="3000"/>
    <n v="0.01"/>
    <n v="30"/>
    <x v="7"/>
  </r>
  <r>
    <x v="90"/>
    <x v="8"/>
    <x v="1"/>
    <x v="3"/>
    <n v="15"/>
    <n v="40"/>
    <n v="600"/>
    <n v="0.03"/>
    <n v="18"/>
    <x v="8"/>
  </r>
  <r>
    <x v="91"/>
    <x v="8"/>
    <x v="1"/>
    <x v="1"/>
    <n v="18"/>
    <n v="40"/>
    <n v="720"/>
    <n v="0.08"/>
    <n v="57.6"/>
    <x v="9"/>
  </r>
  <r>
    <x v="92"/>
    <x v="8"/>
    <x v="1"/>
    <x v="4"/>
    <n v="11"/>
    <n v="40"/>
    <n v="440"/>
    <n v="0.05"/>
    <n v="22"/>
    <x v="10"/>
  </r>
  <r>
    <x v="93"/>
    <x v="9"/>
    <x v="1"/>
    <x v="4"/>
    <n v="23"/>
    <n v="40"/>
    <n v="920"/>
    <n v="0.04"/>
    <n v="36.800000000000004"/>
    <x v="11"/>
  </r>
  <r>
    <x v="94"/>
    <x v="9"/>
    <x v="3"/>
    <x v="4"/>
    <n v="17"/>
    <n v="16"/>
    <n v="272"/>
    <n v="0.1"/>
    <n v="27.200000000000003"/>
    <x v="0"/>
  </r>
  <r>
    <x v="95"/>
    <x v="9"/>
    <x v="3"/>
    <x v="1"/>
    <n v="4"/>
    <n v="16"/>
    <n v="64"/>
    <n v="7.0000000000000007E-2"/>
    <n v="4.4800000000000004"/>
    <x v="1"/>
  </r>
  <r>
    <x v="96"/>
    <x v="9"/>
    <x v="0"/>
    <x v="2"/>
    <n v="23"/>
    <n v="80"/>
    <n v="1840"/>
    <n v="0.05"/>
    <n v="92"/>
    <x v="2"/>
  </r>
  <r>
    <x v="97"/>
    <x v="9"/>
    <x v="2"/>
    <x v="2"/>
    <n v="10"/>
    <n v="230"/>
    <n v="2300"/>
    <n v="0.02"/>
    <n v="46"/>
    <x v="3"/>
  </r>
  <r>
    <x v="98"/>
    <x v="9"/>
    <x v="3"/>
    <x v="2"/>
    <n v="14"/>
    <n v="16"/>
    <n v="224"/>
    <n v="0.01"/>
    <n v="2.2400000000000002"/>
    <x v="4"/>
  </r>
  <r>
    <x v="99"/>
    <x v="9"/>
    <x v="1"/>
    <x v="1"/>
    <n v="19"/>
    <n v="40"/>
    <n v="760"/>
    <n v="0.1"/>
    <n v="76"/>
    <x v="5"/>
  </r>
  <r>
    <x v="100"/>
    <x v="9"/>
    <x v="0"/>
    <x v="4"/>
    <n v="22"/>
    <n v="80"/>
    <n v="1760"/>
    <n v="0.09"/>
    <n v="158.4"/>
    <x v="6"/>
  </r>
  <r>
    <x v="101"/>
    <x v="9"/>
    <x v="3"/>
    <x v="0"/>
    <n v="18"/>
    <n v="16"/>
    <n v="288"/>
    <n v="0.05"/>
    <n v="14.4"/>
    <x v="7"/>
  </r>
  <r>
    <x v="102"/>
    <x v="9"/>
    <x v="1"/>
    <x v="0"/>
    <n v="18"/>
    <n v="40"/>
    <n v="720"/>
    <n v="0.11"/>
    <n v="79.2"/>
    <x v="8"/>
  </r>
  <r>
    <x v="103"/>
    <x v="9"/>
    <x v="1"/>
    <x v="4"/>
    <n v="21"/>
    <n v="40"/>
    <n v="840"/>
    <n v="0.01"/>
    <n v="8.4"/>
    <x v="9"/>
  </r>
  <r>
    <x v="104"/>
    <x v="9"/>
    <x v="0"/>
    <x v="0"/>
    <n v="6"/>
    <n v="80"/>
    <n v="480"/>
    <n v="7.0000000000000007E-2"/>
    <n v="33.6"/>
    <x v="10"/>
  </r>
  <r>
    <x v="105"/>
    <x v="9"/>
    <x v="4"/>
    <x v="4"/>
    <n v="17"/>
    <n v="150"/>
    <n v="2550"/>
    <n v="0.02"/>
    <n v="51"/>
    <x v="11"/>
  </r>
  <r>
    <x v="106"/>
    <x v="9"/>
    <x v="0"/>
    <x v="2"/>
    <n v="16"/>
    <n v="80"/>
    <n v="1280"/>
    <n v="0.02"/>
    <n v="25.6"/>
    <x v="0"/>
  </r>
  <r>
    <x v="107"/>
    <x v="9"/>
    <x v="1"/>
    <x v="1"/>
    <n v="15"/>
    <n v="40"/>
    <n v="600"/>
    <n v="0.04"/>
    <n v="24"/>
    <x v="1"/>
  </r>
  <r>
    <x v="108"/>
    <x v="9"/>
    <x v="2"/>
    <x v="3"/>
    <n v="2"/>
    <n v="230"/>
    <n v="460"/>
    <n v="0.08"/>
    <n v="36.800000000000004"/>
    <x v="2"/>
  </r>
  <r>
    <x v="109"/>
    <x v="9"/>
    <x v="1"/>
    <x v="4"/>
    <n v="3"/>
    <n v="40"/>
    <n v="120"/>
    <n v="0.03"/>
    <n v="3.5999999999999996"/>
    <x v="3"/>
  </r>
  <r>
    <x v="110"/>
    <x v="9"/>
    <x v="2"/>
    <x v="4"/>
    <n v="21"/>
    <n v="230"/>
    <n v="4830"/>
    <n v="0.05"/>
    <n v="241.5"/>
    <x v="4"/>
  </r>
  <r>
    <x v="111"/>
    <x v="9"/>
    <x v="4"/>
    <x v="0"/>
    <n v="11"/>
    <n v="150"/>
    <n v="1650"/>
    <n v="0.05"/>
    <n v="82.5"/>
    <x v="5"/>
  </r>
  <r>
    <x v="112"/>
    <x v="10"/>
    <x v="4"/>
    <x v="1"/>
    <n v="15"/>
    <n v="150"/>
    <n v="2250"/>
    <n v="0.02"/>
    <n v="45"/>
    <x v="6"/>
  </r>
  <r>
    <x v="113"/>
    <x v="10"/>
    <x v="0"/>
    <x v="3"/>
    <n v="16"/>
    <n v="80"/>
    <n v="1280"/>
    <n v="0.1"/>
    <n v="128"/>
    <x v="7"/>
  </r>
  <r>
    <x v="114"/>
    <x v="10"/>
    <x v="2"/>
    <x v="4"/>
    <n v="17"/>
    <n v="230"/>
    <n v="3910"/>
    <n v="0.11"/>
    <n v="430.1"/>
    <x v="8"/>
  </r>
  <r>
    <x v="115"/>
    <x v="10"/>
    <x v="1"/>
    <x v="4"/>
    <n v="16"/>
    <n v="40"/>
    <n v="640"/>
    <n v="0.11"/>
    <n v="70.400000000000006"/>
    <x v="9"/>
  </r>
  <r>
    <x v="116"/>
    <x v="10"/>
    <x v="0"/>
    <x v="3"/>
    <n v="2"/>
    <n v="80"/>
    <n v="160"/>
    <n v="0.08"/>
    <n v="12.8"/>
    <x v="10"/>
  </r>
  <r>
    <x v="117"/>
    <x v="10"/>
    <x v="4"/>
    <x v="1"/>
    <n v="22"/>
    <n v="150"/>
    <n v="3300"/>
    <n v="0.02"/>
    <n v="66"/>
    <x v="11"/>
  </r>
  <r>
    <x v="118"/>
    <x v="10"/>
    <x v="0"/>
    <x v="0"/>
    <n v="16"/>
    <n v="80"/>
    <n v="1280"/>
    <n v="0.03"/>
    <n v="38.4"/>
    <x v="0"/>
  </r>
  <r>
    <x v="119"/>
    <x v="11"/>
    <x v="3"/>
    <x v="0"/>
    <n v="20"/>
    <n v="16"/>
    <n v="320"/>
    <n v="0.11"/>
    <n v="35.200000000000003"/>
    <x v="1"/>
  </r>
  <r>
    <x v="120"/>
    <x v="11"/>
    <x v="0"/>
    <x v="4"/>
    <n v="9"/>
    <n v="80"/>
    <n v="720"/>
    <n v="7.0000000000000007E-2"/>
    <n v="50.400000000000006"/>
    <x v="2"/>
  </r>
  <r>
    <x v="121"/>
    <x v="11"/>
    <x v="2"/>
    <x v="4"/>
    <n v="5"/>
    <n v="230"/>
    <n v="1150"/>
    <n v="0.12"/>
    <n v="138"/>
    <x v="3"/>
  </r>
  <r>
    <x v="122"/>
    <x v="11"/>
    <x v="3"/>
    <x v="0"/>
    <n v="20"/>
    <n v="16"/>
    <n v="320"/>
    <n v="0.01"/>
    <n v="3.2"/>
    <x v="4"/>
  </r>
  <r>
    <x v="123"/>
    <x v="11"/>
    <x v="3"/>
    <x v="0"/>
    <n v="16"/>
    <n v="16"/>
    <n v="256"/>
    <n v="0.03"/>
    <n v="7.68"/>
    <x v="5"/>
  </r>
  <r>
    <x v="124"/>
    <x v="11"/>
    <x v="4"/>
    <x v="3"/>
    <n v="15"/>
    <n v="150"/>
    <n v="2250"/>
    <n v="0.05"/>
    <n v="112.5"/>
    <x v="6"/>
  </r>
  <r>
    <x v="125"/>
    <x v="11"/>
    <x v="2"/>
    <x v="1"/>
    <n v="19"/>
    <n v="230"/>
    <n v="4370"/>
    <n v="0.11"/>
    <n v="480.7"/>
    <x v="7"/>
  </r>
  <r>
    <x v="126"/>
    <x v="12"/>
    <x v="4"/>
    <x v="2"/>
    <n v="2"/>
    <n v="150"/>
    <n v="300"/>
    <n v="0.02"/>
    <n v="6"/>
    <x v="8"/>
  </r>
  <r>
    <x v="127"/>
    <x v="12"/>
    <x v="0"/>
    <x v="4"/>
    <n v="16"/>
    <n v="80"/>
    <n v="1280"/>
    <n v="0.05"/>
    <n v="64"/>
    <x v="9"/>
  </r>
  <r>
    <x v="128"/>
    <x v="12"/>
    <x v="1"/>
    <x v="2"/>
    <n v="2"/>
    <n v="40"/>
    <n v="80"/>
    <n v="0.03"/>
    <n v="2.4"/>
    <x v="10"/>
  </r>
  <r>
    <x v="129"/>
    <x v="12"/>
    <x v="0"/>
    <x v="1"/>
    <n v="5"/>
    <n v="80"/>
    <n v="400"/>
    <n v="0.04"/>
    <n v="16"/>
    <x v="11"/>
  </r>
  <r>
    <x v="130"/>
    <x v="12"/>
    <x v="2"/>
    <x v="3"/>
    <n v="17"/>
    <n v="230"/>
    <n v="3910"/>
    <n v="0.12"/>
    <n v="469.2"/>
    <x v="0"/>
  </r>
  <r>
    <x v="131"/>
    <x v="12"/>
    <x v="0"/>
    <x v="0"/>
    <n v="8"/>
    <n v="80"/>
    <n v="640"/>
    <n v="0.08"/>
    <n v="51.2"/>
    <x v="1"/>
  </r>
  <r>
    <x v="132"/>
    <x v="12"/>
    <x v="1"/>
    <x v="1"/>
    <n v="4"/>
    <n v="40"/>
    <n v="160"/>
    <n v="0.06"/>
    <n v="9.6"/>
    <x v="2"/>
  </r>
  <r>
    <x v="133"/>
    <x v="12"/>
    <x v="3"/>
    <x v="2"/>
    <n v="17"/>
    <n v="16"/>
    <n v="272"/>
    <n v="0.05"/>
    <n v="13.600000000000001"/>
    <x v="3"/>
  </r>
  <r>
    <x v="134"/>
    <x v="12"/>
    <x v="2"/>
    <x v="3"/>
    <n v="8"/>
    <n v="230"/>
    <n v="1840"/>
    <n v="0.01"/>
    <n v="18.400000000000002"/>
    <x v="4"/>
  </r>
  <r>
    <x v="135"/>
    <x v="12"/>
    <x v="3"/>
    <x v="4"/>
    <n v="19"/>
    <n v="16"/>
    <n v="304"/>
    <n v="0.02"/>
    <n v="6.08"/>
    <x v="5"/>
  </r>
  <r>
    <x v="136"/>
    <x v="13"/>
    <x v="1"/>
    <x v="0"/>
    <n v="18"/>
    <n v="40"/>
    <n v="720"/>
    <n v="0.06"/>
    <n v="43.199999999999996"/>
    <x v="6"/>
  </r>
  <r>
    <x v="137"/>
    <x v="13"/>
    <x v="4"/>
    <x v="4"/>
    <n v="23"/>
    <n v="150"/>
    <n v="3450"/>
    <n v="0.08"/>
    <n v="276"/>
    <x v="7"/>
  </r>
  <r>
    <x v="138"/>
    <x v="13"/>
    <x v="2"/>
    <x v="0"/>
    <n v="5"/>
    <n v="230"/>
    <n v="1150"/>
    <n v="0.1"/>
    <n v="115"/>
    <x v="8"/>
  </r>
  <r>
    <x v="139"/>
    <x v="13"/>
    <x v="0"/>
    <x v="3"/>
    <n v="21"/>
    <n v="80"/>
    <n v="1680"/>
    <n v="0.02"/>
    <n v="33.6"/>
    <x v="9"/>
  </r>
  <r>
    <x v="140"/>
    <x v="13"/>
    <x v="3"/>
    <x v="2"/>
    <n v="6"/>
    <n v="16"/>
    <n v="96"/>
    <n v="7.0000000000000007E-2"/>
    <n v="6.7200000000000006"/>
    <x v="0"/>
  </r>
  <r>
    <x v="141"/>
    <x v="13"/>
    <x v="1"/>
    <x v="0"/>
    <n v="9"/>
    <n v="40"/>
    <n v="360"/>
    <n v="0.01"/>
    <n v="3.6"/>
    <x v="1"/>
  </r>
  <r>
    <x v="142"/>
    <x v="13"/>
    <x v="2"/>
    <x v="1"/>
    <n v="9"/>
    <n v="230"/>
    <n v="2070"/>
    <n v="0.03"/>
    <n v="62.099999999999994"/>
    <x v="2"/>
  </r>
  <r>
    <x v="143"/>
    <x v="13"/>
    <x v="2"/>
    <x v="2"/>
    <n v="5"/>
    <n v="230"/>
    <n v="1150"/>
    <n v="0.1"/>
    <n v="115"/>
    <x v="3"/>
  </r>
  <r>
    <x v="144"/>
    <x v="13"/>
    <x v="1"/>
    <x v="3"/>
    <n v="7"/>
    <n v="40"/>
    <n v="280"/>
    <n v="0.11"/>
    <n v="30.8"/>
    <x v="4"/>
  </r>
  <r>
    <x v="145"/>
    <x v="13"/>
    <x v="2"/>
    <x v="0"/>
    <n v="20"/>
    <n v="230"/>
    <n v="4600"/>
    <n v="0.04"/>
    <n v="184"/>
    <x v="5"/>
  </r>
  <r>
    <x v="146"/>
    <x v="13"/>
    <x v="4"/>
    <x v="0"/>
    <n v="22"/>
    <n v="150"/>
    <n v="3300"/>
    <n v="7.0000000000000007E-2"/>
    <n v="231.00000000000003"/>
    <x v="6"/>
  </r>
  <r>
    <x v="147"/>
    <x v="14"/>
    <x v="2"/>
    <x v="2"/>
    <n v="6"/>
    <n v="230"/>
    <n v="1380"/>
    <n v="0.05"/>
    <n v="69"/>
    <x v="7"/>
  </r>
  <r>
    <x v="148"/>
    <x v="14"/>
    <x v="2"/>
    <x v="2"/>
    <n v="15"/>
    <n v="230"/>
    <n v="3450"/>
    <n v="0.11"/>
    <n v="379.5"/>
    <x v="8"/>
  </r>
  <r>
    <x v="149"/>
    <x v="14"/>
    <x v="1"/>
    <x v="1"/>
    <n v="8"/>
    <n v="40"/>
    <n v="320"/>
    <n v="0.09"/>
    <n v="28.799999999999997"/>
    <x v="9"/>
  </r>
  <r>
    <x v="150"/>
    <x v="14"/>
    <x v="1"/>
    <x v="0"/>
    <n v="5"/>
    <n v="40"/>
    <n v="200"/>
    <n v="0.06"/>
    <n v="12"/>
    <x v="10"/>
  </r>
  <r>
    <x v="151"/>
    <x v="14"/>
    <x v="0"/>
    <x v="4"/>
    <n v="6"/>
    <n v="80"/>
    <n v="480"/>
    <n v="0.09"/>
    <n v="43.199999999999996"/>
    <x v="11"/>
  </r>
  <r>
    <x v="152"/>
    <x v="14"/>
    <x v="1"/>
    <x v="3"/>
    <n v="22"/>
    <n v="40"/>
    <n v="880"/>
    <n v="0.01"/>
    <n v="8.8000000000000007"/>
    <x v="0"/>
  </r>
  <r>
    <x v="153"/>
    <x v="14"/>
    <x v="3"/>
    <x v="0"/>
    <n v="7"/>
    <n v="16"/>
    <n v="112"/>
    <n v="0.08"/>
    <n v="8.9600000000000009"/>
    <x v="1"/>
  </r>
  <r>
    <x v="154"/>
    <x v="14"/>
    <x v="4"/>
    <x v="2"/>
    <n v="22"/>
    <n v="150"/>
    <n v="3300"/>
    <n v="0.04"/>
    <n v="132"/>
    <x v="2"/>
  </r>
  <r>
    <x v="155"/>
    <x v="14"/>
    <x v="3"/>
    <x v="3"/>
    <n v="15"/>
    <n v="16"/>
    <n v="240"/>
    <n v="0.12"/>
    <n v="28.799999999999997"/>
    <x v="3"/>
  </r>
  <r>
    <x v="156"/>
    <x v="14"/>
    <x v="0"/>
    <x v="2"/>
    <n v="20"/>
    <n v="80"/>
    <n v="1600"/>
    <n v="7.0000000000000007E-2"/>
    <n v="112.00000000000001"/>
    <x v="4"/>
  </r>
  <r>
    <x v="157"/>
    <x v="14"/>
    <x v="0"/>
    <x v="2"/>
    <n v="7"/>
    <n v="80"/>
    <n v="560"/>
    <n v="0.05"/>
    <n v="28"/>
    <x v="5"/>
  </r>
  <r>
    <x v="158"/>
    <x v="14"/>
    <x v="0"/>
    <x v="1"/>
    <n v="10"/>
    <n v="80"/>
    <n v="800"/>
    <n v="0.11"/>
    <n v="88"/>
    <x v="6"/>
  </r>
  <r>
    <x v="159"/>
    <x v="14"/>
    <x v="0"/>
    <x v="1"/>
    <n v="2"/>
    <n v="80"/>
    <n v="160"/>
    <n v="7.0000000000000007E-2"/>
    <n v="11.200000000000001"/>
    <x v="7"/>
  </r>
  <r>
    <x v="160"/>
    <x v="14"/>
    <x v="3"/>
    <x v="4"/>
    <n v="23"/>
    <n v="16"/>
    <n v="368"/>
    <n v="0.01"/>
    <n v="3.68"/>
    <x v="8"/>
  </r>
  <r>
    <x v="161"/>
    <x v="14"/>
    <x v="2"/>
    <x v="1"/>
    <n v="12"/>
    <n v="230"/>
    <n v="2760"/>
    <n v="0.03"/>
    <n v="82.8"/>
    <x v="9"/>
  </r>
  <r>
    <x v="162"/>
    <x v="15"/>
    <x v="2"/>
    <x v="0"/>
    <n v="7"/>
    <n v="230"/>
    <n v="1610"/>
    <n v="0.08"/>
    <n v="128.80000000000001"/>
    <x v="10"/>
  </r>
  <r>
    <x v="163"/>
    <x v="15"/>
    <x v="1"/>
    <x v="3"/>
    <n v="11"/>
    <n v="40"/>
    <n v="440"/>
    <n v="0.06"/>
    <n v="26.4"/>
    <x v="11"/>
  </r>
  <r>
    <x v="164"/>
    <x v="15"/>
    <x v="2"/>
    <x v="1"/>
    <n v="7"/>
    <n v="230"/>
    <n v="1610"/>
    <n v="0.08"/>
    <n v="128.80000000000001"/>
    <x v="0"/>
  </r>
  <r>
    <x v="165"/>
    <x v="15"/>
    <x v="0"/>
    <x v="0"/>
    <n v="8"/>
    <n v="80"/>
    <n v="640"/>
    <n v="0.09"/>
    <n v="57.599999999999994"/>
    <x v="1"/>
  </r>
  <r>
    <x v="166"/>
    <x v="15"/>
    <x v="0"/>
    <x v="3"/>
    <n v="16"/>
    <n v="80"/>
    <n v="1280"/>
    <n v="7.0000000000000007E-2"/>
    <n v="89.600000000000009"/>
    <x v="2"/>
  </r>
  <r>
    <x v="167"/>
    <x v="15"/>
    <x v="0"/>
    <x v="2"/>
    <n v="16"/>
    <n v="80"/>
    <n v="1280"/>
    <n v="0.04"/>
    <n v="51.2"/>
    <x v="3"/>
  </r>
  <r>
    <x v="168"/>
    <x v="15"/>
    <x v="3"/>
    <x v="2"/>
    <n v="9"/>
    <n v="16"/>
    <n v="144"/>
    <n v="0.05"/>
    <n v="7.2"/>
    <x v="4"/>
  </r>
  <r>
    <x v="169"/>
    <x v="15"/>
    <x v="4"/>
    <x v="4"/>
    <n v="11"/>
    <n v="150"/>
    <n v="1650"/>
    <n v="0.09"/>
    <n v="148.5"/>
    <x v="5"/>
  </r>
  <r>
    <x v="170"/>
    <x v="15"/>
    <x v="3"/>
    <x v="0"/>
    <n v="4"/>
    <n v="16"/>
    <n v="64"/>
    <n v="0.12"/>
    <n v="7.68"/>
    <x v="6"/>
  </r>
  <r>
    <x v="171"/>
    <x v="15"/>
    <x v="1"/>
    <x v="3"/>
    <n v="15"/>
    <n v="40"/>
    <n v="600"/>
    <n v="0.03"/>
    <n v="18"/>
    <x v="7"/>
  </r>
  <r>
    <x v="172"/>
    <x v="15"/>
    <x v="1"/>
    <x v="4"/>
    <n v="20"/>
    <n v="40"/>
    <n v="800"/>
    <n v="0.03"/>
    <n v="24"/>
    <x v="8"/>
  </r>
  <r>
    <x v="173"/>
    <x v="16"/>
    <x v="4"/>
    <x v="2"/>
    <n v="9"/>
    <n v="150"/>
    <n v="1350"/>
    <n v="0.06"/>
    <n v="81"/>
    <x v="9"/>
  </r>
  <r>
    <x v="174"/>
    <x v="16"/>
    <x v="1"/>
    <x v="1"/>
    <n v="23"/>
    <n v="40"/>
    <n v="920"/>
    <n v="0.06"/>
    <n v="55.199999999999996"/>
    <x v="10"/>
  </r>
  <r>
    <x v="175"/>
    <x v="16"/>
    <x v="0"/>
    <x v="4"/>
    <n v="13"/>
    <n v="80"/>
    <n v="1040"/>
    <n v="0.05"/>
    <n v="52"/>
    <x v="11"/>
  </r>
  <r>
    <x v="176"/>
    <x v="16"/>
    <x v="3"/>
    <x v="0"/>
    <n v="22"/>
    <n v="16"/>
    <n v="352"/>
    <n v="0.01"/>
    <n v="3.52"/>
    <x v="0"/>
  </r>
  <r>
    <x v="177"/>
    <x v="16"/>
    <x v="1"/>
    <x v="0"/>
    <n v="19"/>
    <n v="40"/>
    <n v="760"/>
    <n v="0.04"/>
    <n v="30.400000000000002"/>
    <x v="1"/>
  </r>
  <r>
    <x v="178"/>
    <x v="16"/>
    <x v="0"/>
    <x v="3"/>
    <n v="4"/>
    <n v="80"/>
    <n v="320"/>
    <n v="0.11"/>
    <n v="35.200000000000003"/>
    <x v="2"/>
  </r>
  <r>
    <x v="179"/>
    <x v="16"/>
    <x v="3"/>
    <x v="0"/>
    <n v="12"/>
    <n v="16"/>
    <n v="192"/>
    <n v="0.11"/>
    <n v="21.12"/>
    <x v="3"/>
  </r>
  <r>
    <x v="180"/>
    <x v="16"/>
    <x v="4"/>
    <x v="1"/>
    <n v="16"/>
    <n v="150"/>
    <n v="2400"/>
    <n v="0.08"/>
    <n v="192"/>
    <x v="4"/>
  </r>
  <r>
    <x v="181"/>
    <x v="16"/>
    <x v="0"/>
    <x v="0"/>
    <n v="7"/>
    <n v="80"/>
    <n v="560"/>
    <n v="0.02"/>
    <n v="11.200000000000001"/>
    <x v="5"/>
  </r>
  <r>
    <x v="182"/>
    <x v="16"/>
    <x v="1"/>
    <x v="4"/>
    <n v="20"/>
    <n v="40"/>
    <n v="800"/>
    <n v="7.0000000000000007E-2"/>
    <n v="56.000000000000007"/>
    <x v="6"/>
  </r>
  <r>
    <x v="183"/>
    <x v="16"/>
    <x v="0"/>
    <x v="1"/>
    <n v="15"/>
    <n v="80"/>
    <n v="1200"/>
    <n v="0.12"/>
    <n v="144"/>
    <x v="7"/>
  </r>
  <r>
    <x v="184"/>
    <x v="16"/>
    <x v="1"/>
    <x v="0"/>
    <n v="5"/>
    <n v="40"/>
    <n v="200"/>
    <n v="0.09"/>
    <n v="18"/>
    <x v="8"/>
  </r>
  <r>
    <x v="185"/>
    <x v="16"/>
    <x v="3"/>
    <x v="4"/>
    <n v="12"/>
    <n v="16"/>
    <n v="192"/>
    <n v="0.04"/>
    <n v="7.68"/>
    <x v="9"/>
  </r>
  <r>
    <x v="186"/>
    <x v="17"/>
    <x v="4"/>
    <x v="3"/>
    <n v="3"/>
    <n v="150"/>
    <n v="450"/>
    <n v="0.01"/>
    <n v="4.5"/>
    <x v="10"/>
  </r>
  <r>
    <x v="187"/>
    <x v="17"/>
    <x v="1"/>
    <x v="4"/>
    <n v="7"/>
    <n v="40"/>
    <n v="280"/>
    <n v="0.12"/>
    <n v="33.6"/>
    <x v="11"/>
  </r>
  <r>
    <x v="188"/>
    <x v="17"/>
    <x v="0"/>
    <x v="1"/>
    <n v="2"/>
    <n v="80"/>
    <n v="160"/>
    <n v="0.04"/>
    <n v="6.4"/>
    <x v="0"/>
  </r>
  <r>
    <x v="189"/>
    <x v="17"/>
    <x v="1"/>
    <x v="3"/>
    <n v="6"/>
    <n v="40"/>
    <n v="240"/>
    <n v="7.0000000000000007E-2"/>
    <n v="16.8"/>
    <x v="1"/>
  </r>
  <r>
    <x v="190"/>
    <x v="17"/>
    <x v="3"/>
    <x v="2"/>
    <n v="6"/>
    <n v="16"/>
    <n v="96"/>
    <n v="0.06"/>
    <n v="5.76"/>
    <x v="2"/>
  </r>
  <r>
    <x v="191"/>
    <x v="17"/>
    <x v="3"/>
    <x v="0"/>
    <n v="7"/>
    <n v="16"/>
    <n v="112"/>
    <n v="0.02"/>
    <n v="2.2400000000000002"/>
    <x v="3"/>
  </r>
  <r>
    <x v="192"/>
    <x v="17"/>
    <x v="3"/>
    <x v="1"/>
    <n v="20"/>
    <n v="16"/>
    <n v="320"/>
    <n v="0.06"/>
    <n v="19.2"/>
    <x v="4"/>
  </r>
  <r>
    <x v="193"/>
    <x v="17"/>
    <x v="3"/>
    <x v="1"/>
    <n v="21"/>
    <n v="16"/>
    <n v="336"/>
    <n v="0.02"/>
    <n v="6.72"/>
    <x v="5"/>
  </r>
  <r>
    <x v="194"/>
    <x v="17"/>
    <x v="0"/>
    <x v="3"/>
    <n v="21"/>
    <n v="80"/>
    <n v="1680"/>
    <n v="0.05"/>
    <n v="84"/>
    <x v="6"/>
  </r>
  <r>
    <x v="195"/>
    <x v="17"/>
    <x v="3"/>
    <x v="3"/>
    <n v="10"/>
    <n v="16"/>
    <n v="160"/>
    <n v="0.01"/>
    <n v="1.6"/>
    <x v="7"/>
  </r>
  <r>
    <x v="196"/>
    <x v="18"/>
    <x v="2"/>
    <x v="3"/>
    <n v="2"/>
    <n v="230"/>
    <n v="460"/>
    <n v="0.09"/>
    <n v="41.4"/>
    <x v="8"/>
  </r>
  <r>
    <x v="197"/>
    <x v="18"/>
    <x v="4"/>
    <x v="0"/>
    <n v="20"/>
    <n v="150"/>
    <n v="3000"/>
    <n v="0.03"/>
    <n v="90"/>
    <x v="9"/>
  </r>
  <r>
    <x v="198"/>
    <x v="18"/>
    <x v="1"/>
    <x v="0"/>
    <n v="23"/>
    <n v="40"/>
    <n v="920"/>
    <n v="0.03"/>
    <n v="27.599999999999998"/>
    <x v="10"/>
  </r>
  <r>
    <x v="199"/>
    <x v="18"/>
    <x v="0"/>
    <x v="3"/>
    <n v="17"/>
    <n v="80"/>
    <n v="1360"/>
    <n v="0.05"/>
    <n v="68"/>
    <x v="11"/>
  </r>
  <r>
    <x v="200"/>
    <x v="18"/>
    <x v="2"/>
    <x v="3"/>
    <n v="11"/>
    <n v="230"/>
    <n v="2530"/>
    <n v="0.12"/>
    <n v="303.59999999999997"/>
    <x v="0"/>
  </r>
  <r>
    <x v="201"/>
    <x v="18"/>
    <x v="4"/>
    <x v="1"/>
    <n v="10"/>
    <n v="150"/>
    <n v="1500"/>
    <n v="0.01"/>
    <n v="15"/>
    <x v="1"/>
  </r>
  <r>
    <x v="202"/>
    <x v="18"/>
    <x v="0"/>
    <x v="1"/>
    <n v="17"/>
    <n v="80"/>
    <n v="1360"/>
    <n v="0.03"/>
    <n v="40.799999999999997"/>
    <x v="2"/>
  </r>
  <r>
    <x v="203"/>
    <x v="19"/>
    <x v="2"/>
    <x v="0"/>
    <n v="9"/>
    <n v="230"/>
    <n v="2070"/>
    <n v="7.0000000000000007E-2"/>
    <n v="144.9"/>
    <x v="3"/>
  </r>
  <r>
    <x v="204"/>
    <x v="19"/>
    <x v="2"/>
    <x v="0"/>
    <n v="11"/>
    <n v="230"/>
    <n v="2530"/>
    <n v="0.02"/>
    <n v="50.6"/>
    <x v="4"/>
  </r>
  <r>
    <x v="205"/>
    <x v="19"/>
    <x v="1"/>
    <x v="2"/>
    <n v="2"/>
    <n v="40"/>
    <n v="80"/>
    <n v="0.02"/>
    <n v="1.6"/>
    <x v="5"/>
  </r>
  <r>
    <x v="206"/>
    <x v="19"/>
    <x v="2"/>
    <x v="4"/>
    <n v="3"/>
    <n v="230"/>
    <n v="690"/>
    <n v="0.1"/>
    <n v="69"/>
    <x v="6"/>
  </r>
  <r>
    <x v="207"/>
    <x v="19"/>
    <x v="1"/>
    <x v="4"/>
    <n v="7"/>
    <n v="40"/>
    <n v="280"/>
    <n v="0.05"/>
    <n v="14"/>
    <x v="7"/>
  </r>
  <r>
    <x v="208"/>
    <x v="19"/>
    <x v="4"/>
    <x v="1"/>
    <n v="20"/>
    <n v="150"/>
    <n v="3000"/>
    <n v="0.09"/>
    <n v="270"/>
    <x v="8"/>
  </r>
  <r>
    <x v="209"/>
    <x v="19"/>
    <x v="1"/>
    <x v="2"/>
    <n v="4"/>
    <n v="40"/>
    <n v="160"/>
    <n v="0.11"/>
    <n v="17.600000000000001"/>
    <x v="9"/>
  </r>
  <r>
    <x v="210"/>
    <x v="20"/>
    <x v="2"/>
    <x v="2"/>
    <n v="2"/>
    <n v="230"/>
    <n v="460"/>
    <n v="0.09"/>
    <n v="41.4"/>
    <x v="0"/>
  </r>
  <r>
    <x v="211"/>
    <x v="20"/>
    <x v="1"/>
    <x v="1"/>
    <n v="7"/>
    <n v="40"/>
    <n v="280"/>
    <n v="0.01"/>
    <n v="2.8000000000000003"/>
    <x v="1"/>
  </r>
  <r>
    <x v="212"/>
    <x v="20"/>
    <x v="1"/>
    <x v="0"/>
    <n v="2"/>
    <n v="40"/>
    <n v="80"/>
    <n v="0.12"/>
    <n v="9.6"/>
    <x v="2"/>
  </r>
  <r>
    <x v="213"/>
    <x v="20"/>
    <x v="0"/>
    <x v="1"/>
    <n v="3"/>
    <n v="80"/>
    <n v="240"/>
    <n v="0.02"/>
    <n v="4.8"/>
    <x v="3"/>
  </r>
  <r>
    <x v="214"/>
    <x v="20"/>
    <x v="3"/>
    <x v="0"/>
    <n v="18"/>
    <n v="16"/>
    <n v="288"/>
    <n v="0.11"/>
    <n v="31.68"/>
    <x v="4"/>
  </r>
  <r>
    <x v="215"/>
    <x v="20"/>
    <x v="0"/>
    <x v="1"/>
    <n v="5"/>
    <n v="80"/>
    <n v="400"/>
    <n v="7.0000000000000007E-2"/>
    <n v="28.000000000000004"/>
    <x v="5"/>
  </r>
  <r>
    <x v="216"/>
    <x v="20"/>
    <x v="3"/>
    <x v="2"/>
    <n v="3"/>
    <n v="16"/>
    <n v="48"/>
    <n v="0.05"/>
    <n v="2.4000000000000004"/>
    <x v="6"/>
  </r>
  <r>
    <x v="217"/>
    <x v="20"/>
    <x v="0"/>
    <x v="3"/>
    <n v="7"/>
    <n v="80"/>
    <n v="560"/>
    <n v="0.02"/>
    <n v="11.200000000000001"/>
    <x v="7"/>
  </r>
  <r>
    <x v="218"/>
    <x v="20"/>
    <x v="4"/>
    <x v="3"/>
    <n v="15"/>
    <n v="150"/>
    <n v="2250"/>
    <n v="0.08"/>
    <n v="180"/>
    <x v="8"/>
  </r>
  <r>
    <x v="219"/>
    <x v="20"/>
    <x v="0"/>
    <x v="2"/>
    <n v="10"/>
    <n v="80"/>
    <n v="800"/>
    <n v="0.11"/>
    <n v="88"/>
    <x v="9"/>
  </r>
  <r>
    <x v="220"/>
    <x v="20"/>
    <x v="2"/>
    <x v="4"/>
    <n v="13"/>
    <n v="230"/>
    <n v="2990"/>
    <n v="0.06"/>
    <n v="179.4"/>
    <x v="10"/>
  </r>
  <r>
    <x v="221"/>
    <x v="20"/>
    <x v="1"/>
    <x v="0"/>
    <n v="7"/>
    <n v="40"/>
    <n v="280"/>
    <n v="0.1"/>
    <n v="28"/>
    <x v="11"/>
  </r>
  <r>
    <x v="222"/>
    <x v="20"/>
    <x v="3"/>
    <x v="2"/>
    <n v="6"/>
    <n v="16"/>
    <n v="96"/>
    <n v="0.01"/>
    <n v="0.96"/>
    <x v="0"/>
  </r>
  <r>
    <x v="223"/>
    <x v="21"/>
    <x v="1"/>
    <x v="2"/>
    <n v="11"/>
    <n v="40"/>
    <n v="440"/>
    <n v="0.05"/>
    <n v="22"/>
    <x v="1"/>
  </r>
  <r>
    <x v="224"/>
    <x v="21"/>
    <x v="0"/>
    <x v="3"/>
    <n v="8"/>
    <n v="80"/>
    <n v="640"/>
    <n v="0.06"/>
    <n v="38.4"/>
    <x v="2"/>
  </r>
  <r>
    <x v="225"/>
    <x v="21"/>
    <x v="0"/>
    <x v="0"/>
    <n v="9"/>
    <n v="80"/>
    <n v="720"/>
    <n v="0.04"/>
    <n v="28.8"/>
    <x v="3"/>
  </r>
  <r>
    <x v="226"/>
    <x v="21"/>
    <x v="1"/>
    <x v="4"/>
    <n v="4"/>
    <n v="40"/>
    <n v="160"/>
    <n v="0.09"/>
    <n v="14.399999999999999"/>
    <x v="4"/>
  </r>
  <r>
    <x v="227"/>
    <x v="21"/>
    <x v="0"/>
    <x v="1"/>
    <n v="13"/>
    <n v="80"/>
    <n v="1040"/>
    <n v="0.06"/>
    <n v="62.4"/>
    <x v="5"/>
  </r>
  <r>
    <x v="228"/>
    <x v="21"/>
    <x v="4"/>
    <x v="4"/>
    <n v="4"/>
    <n v="150"/>
    <n v="600"/>
    <n v="0.05"/>
    <n v="30"/>
    <x v="6"/>
  </r>
  <r>
    <x v="229"/>
    <x v="21"/>
    <x v="2"/>
    <x v="2"/>
    <n v="14"/>
    <n v="230"/>
    <n v="3220"/>
    <n v="0.12"/>
    <n v="386.4"/>
    <x v="7"/>
  </r>
  <r>
    <x v="230"/>
    <x v="21"/>
    <x v="4"/>
    <x v="4"/>
    <n v="13"/>
    <n v="150"/>
    <n v="1950"/>
    <n v="0.11"/>
    <n v="214.5"/>
    <x v="8"/>
  </r>
  <r>
    <x v="231"/>
    <x v="21"/>
    <x v="4"/>
    <x v="1"/>
    <n v="16"/>
    <n v="150"/>
    <n v="2400"/>
    <n v="0.03"/>
    <n v="72"/>
    <x v="9"/>
  </r>
  <r>
    <x v="232"/>
    <x v="21"/>
    <x v="3"/>
    <x v="0"/>
    <n v="7"/>
    <n v="16"/>
    <n v="112"/>
    <n v="0.12"/>
    <n v="13.44"/>
    <x v="10"/>
  </r>
  <r>
    <x v="233"/>
    <x v="21"/>
    <x v="4"/>
    <x v="3"/>
    <n v="9"/>
    <n v="150"/>
    <n v="1350"/>
    <n v="0.02"/>
    <n v="27"/>
    <x v="11"/>
  </r>
  <r>
    <x v="234"/>
    <x v="21"/>
    <x v="3"/>
    <x v="0"/>
    <n v="10"/>
    <n v="16"/>
    <n v="160"/>
    <n v="0.08"/>
    <n v="12.8"/>
    <x v="0"/>
  </r>
  <r>
    <x v="235"/>
    <x v="21"/>
    <x v="0"/>
    <x v="3"/>
    <n v="15"/>
    <n v="80"/>
    <n v="1200"/>
    <n v="0.08"/>
    <n v="96"/>
    <x v="1"/>
  </r>
  <r>
    <x v="236"/>
    <x v="21"/>
    <x v="0"/>
    <x v="4"/>
    <n v="9"/>
    <n v="80"/>
    <n v="720"/>
    <n v="0.06"/>
    <n v="43.199999999999996"/>
    <x v="2"/>
  </r>
  <r>
    <x v="237"/>
    <x v="22"/>
    <x v="3"/>
    <x v="3"/>
    <n v="7"/>
    <n v="16"/>
    <n v="112"/>
    <n v="0.08"/>
    <n v="8.9600000000000009"/>
    <x v="3"/>
  </r>
  <r>
    <x v="238"/>
    <x v="22"/>
    <x v="4"/>
    <x v="4"/>
    <n v="7"/>
    <n v="150"/>
    <n v="1050"/>
    <n v="0.03"/>
    <n v="31.5"/>
    <x v="4"/>
  </r>
  <r>
    <x v="239"/>
    <x v="22"/>
    <x v="2"/>
    <x v="3"/>
    <n v="16"/>
    <n v="230"/>
    <n v="3680"/>
    <n v="0.11"/>
    <n v="404.8"/>
    <x v="5"/>
  </r>
  <r>
    <x v="240"/>
    <x v="22"/>
    <x v="3"/>
    <x v="3"/>
    <n v="18"/>
    <n v="16"/>
    <n v="288"/>
    <n v="0.04"/>
    <n v="11.52"/>
    <x v="6"/>
  </r>
  <r>
    <x v="241"/>
    <x v="22"/>
    <x v="2"/>
    <x v="4"/>
    <n v="20"/>
    <n v="230"/>
    <n v="4600"/>
    <n v="0.11"/>
    <n v="506"/>
    <x v="7"/>
  </r>
  <r>
    <x v="242"/>
    <x v="22"/>
    <x v="4"/>
    <x v="0"/>
    <n v="7"/>
    <n v="150"/>
    <n v="1050"/>
    <n v="0.02"/>
    <n v="21"/>
    <x v="8"/>
  </r>
  <r>
    <x v="243"/>
    <x v="22"/>
    <x v="3"/>
    <x v="2"/>
    <n v="11"/>
    <n v="16"/>
    <n v="176"/>
    <n v="0.12"/>
    <n v="21.119999999999997"/>
    <x v="9"/>
  </r>
  <r>
    <x v="244"/>
    <x v="22"/>
    <x v="1"/>
    <x v="2"/>
    <n v="12"/>
    <n v="40"/>
    <n v="480"/>
    <n v="0.02"/>
    <n v="9.6"/>
    <x v="10"/>
  </r>
  <r>
    <x v="245"/>
    <x v="22"/>
    <x v="4"/>
    <x v="4"/>
    <n v="7"/>
    <n v="150"/>
    <n v="1050"/>
    <n v="0.02"/>
    <n v="21"/>
    <x v="11"/>
  </r>
  <r>
    <x v="246"/>
    <x v="22"/>
    <x v="0"/>
    <x v="2"/>
    <n v="14"/>
    <n v="80"/>
    <n v="1120"/>
    <n v="0.1"/>
    <n v="112"/>
    <x v="0"/>
  </r>
  <r>
    <x v="247"/>
    <x v="22"/>
    <x v="2"/>
    <x v="2"/>
    <n v="12"/>
    <n v="230"/>
    <n v="2760"/>
    <n v="0.06"/>
    <n v="165.6"/>
    <x v="1"/>
  </r>
  <r>
    <x v="248"/>
    <x v="23"/>
    <x v="0"/>
    <x v="1"/>
    <n v="21"/>
    <n v="80"/>
    <n v="1680"/>
    <n v="0.04"/>
    <n v="67.2"/>
    <x v="2"/>
  </r>
  <r>
    <x v="249"/>
    <x v="23"/>
    <x v="4"/>
    <x v="0"/>
    <n v="8"/>
    <n v="150"/>
    <n v="1200"/>
    <n v="0.09"/>
    <n v="108"/>
    <x v="3"/>
  </r>
  <r>
    <x v="250"/>
    <x v="23"/>
    <x v="0"/>
    <x v="1"/>
    <n v="16"/>
    <n v="80"/>
    <n v="1280"/>
    <n v="0.04"/>
    <n v="51.2"/>
    <x v="4"/>
  </r>
  <r>
    <x v="251"/>
    <x v="23"/>
    <x v="2"/>
    <x v="1"/>
    <n v="14"/>
    <n v="230"/>
    <n v="3220"/>
    <n v="0.05"/>
    <n v="161"/>
    <x v="5"/>
  </r>
  <r>
    <x v="252"/>
    <x v="23"/>
    <x v="1"/>
    <x v="2"/>
    <n v="2"/>
    <n v="40"/>
    <n v="80"/>
    <n v="0.03"/>
    <n v="2.4"/>
    <x v="6"/>
  </r>
  <r>
    <x v="253"/>
    <x v="23"/>
    <x v="4"/>
    <x v="0"/>
    <n v="4"/>
    <n v="150"/>
    <n v="600"/>
    <n v="0.1"/>
    <n v="60"/>
    <x v="7"/>
  </r>
  <r>
    <x v="254"/>
    <x v="23"/>
    <x v="0"/>
    <x v="2"/>
    <n v="6"/>
    <n v="80"/>
    <n v="480"/>
    <n v="0.01"/>
    <n v="4.8"/>
    <x v="8"/>
  </r>
  <r>
    <x v="255"/>
    <x v="23"/>
    <x v="1"/>
    <x v="2"/>
    <n v="6"/>
    <n v="40"/>
    <n v="240"/>
    <n v="0.06"/>
    <n v="14.399999999999999"/>
    <x v="9"/>
  </r>
  <r>
    <x v="256"/>
    <x v="23"/>
    <x v="4"/>
    <x v="0"/>
    <n v="20"/>
    <n v="150"/>
    <n v="3000"/>
    <n v="0.04"/>
    <n v="120"/>
    <x v="10"/>
  </r>
  <r>
    <x v="257"/>
    <x v="23"/>
    <x v="1"/>
    <x v="2"/>
    <n v="18"/>
    <n v="40"/>
    <n v="720"/>
    <n v="0.03"/>
    <n v="21.599999999999998"/>
    <x v="11"/>
  </r>
  <r>
    <x v="258"/>
    <x v="23"/>
    <x v="2"/>
    <x v="3"/>
    <n v="18"/>
    <n v="230"/>
    <n v="4140"/>
    <n v="0.01"/>
    <n v="41.4"/>
    <x v="0"/>
  </r>
  <r>
    <x v="259"/>
    <x v="23"/>
    <x v="2"/>
    <x v="2"/>
    <n v="15"/>
    <n v="230"/>
    <n v="3450"/>
    <n v="0.04"/>
    <n v="138"/>
    <x v="1"/>
  </r>
  <r>
    <x v="260"/>
    <x v="23"/>
    <x v="3"/>
    <x v="1"/>
    <n v="22"/>
    <n v="16"/>
    <n v="352"/>
    <n v="0.01"/>
    <n v="3.52"/>
    <x v="2"/>
  </r>
  <r>
    <x v="261"/>
    <x v="23"/>
    <x v="4"/>
    <x v="0"/>
    <n v="17"/>
    <n v="150"/>
    <n v="2550"/>
    <n v="0.12"/>
    <n v="306"/>
    <x v="3"/>
  </r>
  <r>
    <x v="262"/>
    <x v="24"/>
    <x v="3"/>
    <x v="1"/>
    <n v="5"/>
    <n v="16"/>
    <n v="80"/>
    <n v="0.11"/>
    <n v="8.8000000000000007"/>
    <x v="4"/>
  </r>
  <r>
    <x v="263"/>
    <x v="24"/>
    <x v="4"/>
    <x v="0"/>
    <n v="23"/>
    <n v="150"/>
    <n v="3450"/>
    <n v="0.1"/>
    <n v="345"/>
    <x v="5"/>
  </r>
  <r>
    <x v="264"/>
    <x v="24"/>
    <x v="4"/>
    <x v="3"/>
    <n v="22"/>
    <n v="150"/>
    <n v="3300"/>
    <n v="0.05"/>
    <n v="165"/>
    <x v="6"/>
  </r>
  <r>
    <x v="265"/>
    <x v="24"/>
    <x v="3"/>
    <x v="4"/>
    <n v="15"/>
    <n v="16"/>
    <n v="240"/>
    <n v="0.01"/>
    <n v="2.4"/>
    <x v="7"/>
  </r>
  <r>
    <x v="266"/>
    <x v="24"/>
    <x v="1"/>
    <x v="3"/>
    <n v="7"/>
    <n v="40"/>
    <n v="280"/>
    <n v="7.0000000000000007E-2"/>
    <n v="19.600000000000001"/>
    <x v="8"/>
  </r>
  <r>
    <x v="267"/>
    <x v="24"/>
    <x v="0"/>
    <x v="4"/>
    <n v="22"/>
    <n v="80"/>
    <n v="1760"/>
    <n v="0.11"/>
    <n v="193.6"/>
    <x v="9"/>
  </r>
  <r>
    <x v="268"/>
    <x v="24"/>
    <x v="4"/>
    <x v="2"/>
    <n v="11"/>
    <n v="150"/>
    <n v="1650"/>
    <n v="0.05"/>
    <n v="82.5"/>
    <x v="10"/>
  </r>
  <r>
    <x v="269"/>
    <x v="24"/>
    <x v="1"/>
    <x v="1"/>
    <n v="21"/>
    <n v="40"/>
    <n v="840"/>
    <n v="0.03"/>
    <n v="25.2"/>
    <x v="11"/>
  </r>
  <r>
    <x v="270"/>
    <x v="24"/>
    <x v="0"/>
    <x v="3"/>
    <n v="23"/>
    <n v="80"/>
    <n v="1840"/>
    <n v="0.11"/>
    <n v="202.4"/>
    <x v="0"/>
  </r>
  <r>
    <x v="271"/>
    <x v="24"/>
    <x v="2"/>
    <x v="2"/>
    <n v="7"/>
    <n v="230"/>
    <n v="1610"/>
    <n v="0.01"/>
    <n v="16.100000000000001"/>
    <x v="1"/>
  </r>
  <r>
    <x v="272"/>
    <x v="24"/>
    <x v="2"/>
    <x v="0"/>
    <n v="16"/>
    <n v="230"/>
    <n v="3680"/>
    <n v="7.0000000000000007E-2"/>
    <n v="257.60000000000002"/>
    <x v="2"/>
  </r>
  <r>
    <x v="273"/>
    <x v="24"/>
    <x v="0"/>
    <x v="1"/>
    <n v="14"/>
    <n v="80"/>
    <n v="1120"/>
    <n v="0.11"/>
    <n v="123.2"/>
    <x v="3"/>
  </r>
  <r>
    <x v="274"/>
    <x v="24"/>
    <x v="4"/>
    <x v="2"/>
    <n v="22"/>
    <n v="150"/>
    <n v="3300"/>
    <n v="0.09"/>
    <n v="297"/>
    <x v="4"/>
  </r>
  <r>
    <x v="275"/>
    <x v="24"/>
    <x v="4"/>
    <x v="3"/>
    <n v="4"/>
    <n v="150"/>
    <n v="600"/>
    <n v="0.12"/>
    <n v="72"/>
    <x v="5"/>
  </r>
  <r>
    <x v="276"/>
    <x v="24"/>
    <x v="4"/>
    <x v="0"/>
    <n v="3"/>
    <n v="150"/>
    <n v="450"/>
    <n v="0.03"/>
    <n v="13.5"/>
    <x v="6"/>
  </r>
  <r>
    <x v="277"/>
    <x v="24"/>
    <x v="1"/>
    <x v="4"/>
    <n v="17"/>
    <n v="40"/>
    <n v="680"/>
    <n v="0.02"/>
    <n v="13.6"/>
    <x v="7"/>
  </r>
  <r>
    <x v="278"/>
    <x v="24"/>
    <x v="0"/>
    <x v="4"/>
    <n v="22"/>
    <n v="80"/>
    <n v="1760"/>
    <n v="0.1"/>
    <n v="176"/>
    <x v="8"/>
  </r>
  <r>
    <x v="279"/>
    <x v="24"/>
    <x v="4"/>
    <x v="4"/>
    <n v="18"/>
    <n v="150"/>
    <n v="2700"/>
    <n v="0.12"/>
    <n v="324"/>
    <x v="9"/>
  </r>
  <r>
    <x v="280"/>
    <x v="25"/>
    <x v="4"/>
    <x v="0"/>
    <n v="4"/>
    <n v="150"/>
    <n v="600"/>
    <n v="0.06"/>
    <n v="36"/>
    <x v="0"/>
  </r>
  <r>
    <x v="281"/>
    <x v="25"/>
    <x v="2"/>
    <x v="1"/>
    <n v="22"/>
    <n v="230"/>
    <n v="5060"/>
    <n v="0.04"/>
    <n v="202.4"/>
    <x v="1"/>
  </r>
  <r>
    <x v="282"/>
    <x v="25"/>
    <x v="4"/>
    <x v="1"/>
    <n v="15"/>
    <n v="150"/>
    <n v="2250"/>
    <n v="0.12"/>
    <n v="270"/>
    <x v="2"/>
  </r>
  <r>
    <x v="283"/>
    <x v="25"/>
    <x v="0"/>
    <x v="0"/>
    <n v="17"/>
    <n v="80"/>
    <n v="1360"/>
    <n v="7.0000000000000007E-2"/>
    <n v="95.2"/>
    <x v="3"/>
  </r>
  <r>
    <x v="284"/>
    <x v="25"/>
    <x v="1"/>
    <x v="4"/>
    <n v="10"/>
    <n v="40"/>
    <n v="400"/>
    <n v="0.03"/>
    <n v="12"/>
    <x v="4"/>
  </r>
  <r>
    <x v="285"/>
    <x v="25"/>
    <x v="1"/>
    <x v="0"/>
    <n v="23"/>
    <n v="40"/>
    <n v="920"/>
    <n v="7.0000000000000007E-2"/>
    <n v="64.400000000000006"/>
    <x v="5"/>
  </r>
  <r>
    <x v="286"/>
    <x v="25"/>
    <x v="3"/>
    <x v="1"/>
    <n v="22"/>
    <n v="16"/>
    <n v="352"/>
    <n v="0.04"/>
    <n v="14.08"/>
    <x v="6"/>
  </r>
  <r>
    <x v="287"/>
    <x v="25"/>
    <x v="0"/>
    <x v="2"/>
    <n v="8"/>
    <n v="80"/>
    <n v="640"/>
    <n v="0.02"/>
    <n v="12.8"/>
    <x v="7"/>
  </r>
  <r>
    <x v="288"/>
    <x v="25"/>
    <x v="3"/>
    <x v="1"/>
    <n v="4"/>
    <n v="16"/>
    <n v="64"/>
    <n v="0.09"/>
    <n v="5.76"/>
    <x v="8"/>
  </r>
  <r>
    <x v="289"/>
    <x v="25"/>
    <x v="1"/>
    <x v="3"/>
    <n v="11"/>
    <n v="40"/>
    <n v="440"/>
    <n v="0.09"/>
    <n v="39.6"/>
    <x v="9"/>
  </r>
  <r>
    <x v="290"/>
    <x v="25"/>
    <x v="2"/>
    <x v="2"/>
    <n v="18"/>
    <n v="230"/>
    <n v="4140"/>
    <n v="0.01"/>
    <n v="41.4"/>
    <x v="10"/>
  </r>
  <r>
    <x v="291"/>
    <x v="26"/>
    <x v="2"/>
    <x v="1"/>
    <n v="11"/>
    <n v="230"/>
    <n v="2530"/>
    <n v="0.1"/>
    <n v="253"/>
    <x v="11"/>
  </r>
  <r>
    <x v="292"/>
    <x v="26"/>
    <x v="2"/>
    <x v="0"/>
    <n v="15"/>
    <n v="230"/>
    <n v="3450"/>
    <n v="0.05"/>
    <n v="172.5"/>
    <x v="0"/>
  </r>
  <r>
    <x v="293"/>
    <x v="26"/>
    <x v="1"/>
    <x v="4"/>
    <n v="7"/>
    <n v="40"/>
    <n v="280"/>
    <n v="0.04"/>
    <n v="11.200000000000001"/>
    <x v="1"/>
  </r>
  <r>
    <x v="294"/>
    <x v="26"/>
    <x v="4"/>
    <x v="2"/>
    <n v="20"/>
    <n v="150"/>
    <n v="3000"/>
    <n v="0.12"/>
    <n v="360"/>
    <x v="2"/>
  </r>
  <r>
    <x v="295"/>
    <x v="26"/>
    <x v="0"/>
    <x v="2"/>
    <n v="5"/>
    <n v="80"/>
    <n v="400"/>
    <n v="0.09"/>
    <n v="36"/>
    <x v="3"/>
  </r>
  <r>
    <x v="296"/>
    <x v="26"/>
    <x v="0"/>
    <x v="3"/>
    <n v="14"/>
    <n v="80"/>
    <n v="1120"/>
    <n v="0.05"/>
    <n v="56"/>
    <x v="4"/>
  </r>
  <r>
    <x v="297"/>
    <x v="26"/>
    <x v="2"/>
    <x v="3"/>
    <n v="7"/>
    <n v="230"/>
    <n v="1610"/>
    <n v="0.06"/>
    <n v="96.6"/>
    <x v="5"/>
  </r>
  <r>
    <x v="298"/>
    <x v="26"/>
    <x v="1"/>
    <x v="3"/>
    <n v="13"/>
    <n v="40"/>
    <n v="520"/>
    <n v="0.06"/>
    <n v="31.2"/>
    <x v="6"/>
  </r>
  <r>
    <x v="299"/>
    <x v="27"/>
    <x v="3"/>
    <x v="1"/>
    <n v="15"/>
    <n v="16"/>
    <n v="240"/>
    <n v="0.02"/>
    <n v="4.8"/>
    <x v="7"/>
  </r>
  <r>
    <x v="300"/>
    <x v="27"/>
    <x v="3"/>
    <x v="3"/>
    <n v="5"/>
    <n v="16"/>
    <n v="80"/>
    <n v="0.09"/>
    <n v="7.1999999999999993"/>
    <x v="8"/>
  </r>
  <r>
    <x v="301"/>
    <x v="27"/>
    <x v="3"/>
    <x v="0"/>
    <n v="22"/>
    <n v="16"/>
    <n v="352"/>
    <n v="0.06"/>
    <n v="21.119999999999997"/>
    <x v="9"/>
  </r>
  <r>
    <x v="302"/>
    <x v="27"/>
    <x v="4"/>
    <x v="2"/>
    <n v="15"/>
    <n v="150"/>
    <n v="2250"/>
    <n v="0.05"/>
    <n v="112.5"/>
    <x v="10"/>
  </r>
  <r>
    <x v="303"/>
    <x v="27"/>
    <x v="2"/>
    <x v="2"/>
    <n v="5"/>
    <n v="230"/>
    <n v="1150"/>
    <n v="0.01"/>
    <n v="11.5"/>
    <x v="11"/>
  </r>
  <r>
    <x v="304"/>
    <x v="27"/>
    <x v="1"/>
    <x v="0"/>
    <n v="11"/>
    <n v="40"/>
    <n v="440"/>
    <n v="0.04"/>
    <n v="17.600000000000001"/>
    <x v="0"/>
  </r>
  <r>
    <x v="305"/>
    <x v="27"/>
    <x v="4"/>
    <x v="1"/>
    <n v="13"/>
    <n v="150"/>
    <n v="1950"/>
    <n v="0.08"/>
    <n v="156"/>
    <x v="1"/>
  </r>
  <r>
    <x v="306"/>
    <x v="27"/>
    <x v="3"/>
    <x v="4"/>
    <n v="13"/>
    <n v="16"/>
    <n v="208"/>
    <n v="7.0000000000000007E-2"/>
    <n v="14.560000000000002"/>
    <x v="2"/>
  </r>
  <r>
    <x v="307"/>
    <x v="27"/>
    <x v="3"/>
    <x v="4"/>
    <n v="3"/>
    <n v="16"/>
    <n v="48"/>
    <n v="0.03"/>
    <n v="1.44"/>
    <x v="3"/>
  </r>
  <r>
    <x v="308"/>
    <x v="28"/>
    <x v="4"/>
    <x v="1"/>
    <n v="2"/>
    <n v="150"/>
    <n v="300"/>
    <n v="0.09"/>
    <n v="27"/>
    <x v="4"/>
  </r>
  <r>
    <x v="309"/>
    <x v="28"/>
    <x v="2"/>
    <x v="2"/>
    <n v="14"/>
    <n v="230"/>
    <n v="3220"/>
    <n v="0.03"/>
    <n v="96.6"/>
    <x v="5"/>
  </r>
  <r>
    <x v="310"/>
    <x v="28"/>
    <x v="1"/>
    <x v="2"/>
    <n v="11"/>
    <n v="40"/>
    <n v="440"/>
    <n v="0.12"/>
    <n v="52.8"/>
    <x v="6"/>
  </r>
  <r>
    <x v="311"/>
    <x v="28"/>
    <x v="3"/>
    <x v="4"/>
    <n v="3"/>
    <n v="16"/>
    <n v="48"/>
    <n v="0.06"/>
    <n v="2.88"/>
    <x v="7"/>
  </r>
  <r>
    <x v="312"/>
    <x v="28"/>
    <x v="1"/>
    <x v="4"/>
    <n v="18"/>
    <n v="40"/>
    <n v="720"/>
    <n v="0.06"/>
    <n v="43.199999999999996"/>
    <x v="8"/>
  </r>
  <r>
    <x v="313"/>
    <x v="28"/>
    <x v="2"/>
    <x v="4"/>
    <n v="7"/>
    <n v="230"/>
    <n v="1610"/>
    <n v="0.05"/>
    <n v="80.5"/>
    <x v="9"/>
  </r>
  <r>
    <x v="314"/>
    <x v="28"/>
    <x v="1"/>
    <x v="4"/>
    <n v="23"/>
    <n v="40"/>
    <n v="920"/>
    <n v="0.05"/>
    <n v="46"/>
    <x v="10"/>
  </r>
  <r>
    <x v="315"/>
    <x v="29"/>
    <x v="2"/>
    <x v="4"/>
    <n v="2"/>
    <n v="230"/>
    <n v="460"/>
    <n v="0.08"/>
    <n v="36.800000000000004"/>
    <x v="11"/>
  </r>
  <r>
    <x v="316"/>
    <x v="29"/>
    <x v="1"/>
    <x v="3"/>
    <n v="18"/>
    <n v="40"/>
    <n v="720"/>
    <n v="0.04"/>
    <n v="28.8"/>
    <x v="0"/>
  </r>
  <r>
    <x v="317"/>
    <x v="29"/>
    <x v="2"/>
    <x v="1"/>
    <n v="7"/>
    <n v="230"/>
    <n v="1610"/>
    <n v="0.05"/>
    <n v="80.5"/>
    <x v="1"/>
  </r>
  <r>
    <x v="318"/>
    <x v="29"/>
    <x v="1"/>
    <x v="4"/>
    <n v="14"/>
    <n v="40"/>
    <n v="560"/>
    <n v="0.11"/>
    <n v="61.6"/>
    <x v="2"/>
  </r>
  <r>
    <x v="319"/>
    <x v="29"/>
    <x v="4"/>
    <x v="1"/>
    <n v="13"/>
    <n v="150"/>
    <n v="1950"/>
    <n v="0.02"/>
    <n v="39"/>
    <x v="3"/>
  </r>
  <r>
    <x v="320"/>
    <x v="29"/>
    <x v="0"/>
    <x v="0"/>
    <n v="12"/>
    <n v="80"/>
    <n v="960"/>
    <n v="0.04"/>
    <n v="38.4"/>
    <x v="4"/>
  </r>
  <r>
    <x v="321"/>
    <x v="29"/>
    <x v="2"/>
    <x v="4"/>
    <n v="20"/>
    <n v="230"/>
    <n v="4600"/>
    <n v="0.09"/>
    <n v="414"/>
    <x v="5"/>
  </r>
  <r>
    <x v="322"/>
    <x v="29"/>
    <x v="1"/>
    <x v="4"/>
    <n v="5"/>
    <n v="40"/>
    <n v="200"/>
    <n v="0.03"/>
    <n v="6"/>
    <x v="6"/>
  </r>
  <r>
    <x v="323"/>
    <x v="29"/>
    <x v="3"/>
    <x v="4"/>
    <n v="2"/>
    <n v="16"/>
    <n v="32"/>
    <n v="0.04"/>
    <n v="1.28"/>
    <x v="7"/>
  </r>
  <r>
    <x v="324"/>
    <x v="0"/>
    <x v="0"/>
    <x v="2"/>
    <n v="10"/>
    <n v="80"/>
    <n v="800"/>
    <n v="0.08"/>
    <n v="64"/>
    <x v="8"/>
  </r>
  <r>
    <x v="325"/>
    <x v="0"/>
    <x v="1"/>
    <x v="3"/>
    <n v="18"/>
    <n v="40"/>
    <n v="720"/>
    <n v="0.06"/>
    <n v="43.199999999999996"/>
    <x v="9"/>
  </r>
  <r>
    <x v="326"/>
    <x v="0"/>
    <x v="2"/>
    <x v="1"/>
    <n v="7"/>
    <n v="230"/>
    <n v="1610"/>
    <n v="0.08"/>
    <n v="128.80000000000001"/>
    <x v="10"/>
  </r>
  <r>
    <x v="327"/>
    <x v="0"/>
    <x v="1"/>
    <x v="3"/>
    <n v="15"/>
    <n v="40"/>
    <n v="600"/>
    <n v="0.03"/>
    <n v="18"/>
    <x v="11"/>
  </r>
  <r>
    <x v="328"/>
    <x v="0"/>
    <x v="3"/>
    <x v="2"/>
    <n v="6"/>
    <n v="16"/>
    <n v="96"/>
    <n v="0.01"/>
    <n v="0.96"/>
    <x v="0"/>
  </r>
  <r>
    <x v="329"/>
    <x v="0"/>
    <x v="4"/>
    <x v="3"/>
    <n v="9"/>
    <n v="150"/>
    <n v="1350"/>
    <n v="0.02"/>
    <n v="27"/>
    <x v="1"/>
  </r>
  <r>
    <x v="330"/>
    <x v="0"/>
    <x v="3"/>
    <x v="4"/>
    <n v="15"/>
    <n v="16"/>
    <n v="240"/>
    <n v="0.01"/>
    <n v="2.4"/>
    <x v="2"/>
  </r>
  <r>
    <x v="331"/>
    <x v="0"/>
    <x v="0"/>
    <x v="4"/>
    <n v="22"/>
    <n v="80"/>
    <n v="1760"/>
    <n v="0.11"/>
    <n v="193.6"/>
    <x v="3"/>
  </r>
  <r>
    <x v="332"/>
    <x v="0"/>
    <x v="4"/>
    <x v="1"/>
    <n v="13"/>
    <n v="150"/>
    <n v="1950"/>
    <n v="0.02"/>
    <n v="39"/>
    <x v="4"/>
  </r>
  <r>
    <x v="333"/>
    <x v="1"/>
    <x v="3"/>
    <x v="2"/>
    <n v="12"/>
    <n v="16"/>
    <n v="192"/>
    <n v="0.03"/>
    <n v="5.76"/>
    <x v="5"/>
  </r>
  <r>
    <x v="334"/>
    <x v="1"/>
    <x v="1"/>
    <x v="3"/>
    <n v="4"/>
    <n v="40"/>
    <n v="160"/>
    <n v="0.05"/>
    <n v="8"/>
    <x v="6"/>
  </r>
  <r>
    <x v="335"/>
    <x v="1"/>
    <x v="2"/>
    <x v="1"/>
    <n v="19"/>
    <n v="230"/>
    <n v="4370"/>
    <n v="0.11"/>
    <n v="480.7"/>
    <x v="7"/>
  </r>
  <r>
    <x v="336"/>
    <x v="1"/>
    <x v="1"/>
    <x v="1"/>
    <n v="4"/>
    <n v="40"/>
    <n v="160"/>
    <n v="0.06"/>
    <n v="9.6"/>
    <x v="8"/>
  </r>
  <r>
    <x v="337"/>
    <x v="1"/>
    <x v="3"/>
    <x v="2"/>
    <n v="6"/>
    <n v="16"/>
    <n v="96"/>
    <n v="7.0000000000000007E-2"/>
    <n v="6.7200000000000006"/>
    <x v="9"/>
  </r>
  <r>
    <x v="338"/>
    <x v="1"/>
    <x v="2"/>
    <x v="2"/>
    <n v="15"/>
    <n v="230"/>
    <n v="3450"/>
    <n v="0.11"/>
    <n v="379.5"/>
    <x v="10"/>
  </r>
  <r>
    <x v="339"/>
    <x v="1"/>
    <x v="0"/>
    <x v="2"/>
    <n v="16"/>
    <n v="80"/>
    <n v="1280"/>
    <n v="0.04"/>
    <n v="51.2"/>
    <x v="11"/>
  </r>
  <r>
    <x v="340"/>
    <x v="1"/>
    <x v="1"/>
    <x v="0"/>
    <n v="7"/>
    <n v="40"/>
    <n v="280"/>
    <n v="0.1"/>
    <n v="28"/>
    <x v="0"/>
  </r>
  <r>
    <x v="341"/>
    <x v="1"/>
    <x v="1"/>
    <x v="2"/>
    <n v="11"/>
    <n v="40"/>
    <n v="440"/>
    <n v="0.05"/>
    <n v="22"/>
    <x v="1"/>
  </r>
  <r>
    <x v="342"/>
    <x v="1"/>
    <x v="0"/>
    <x v="4"/>
    <n v="9"/>
    <n v="80"/>
    <n v="720"/>
    <n v="0.06"/>
    <n v="43.199999999999996"/>
    <x v="2"/>
  </r>
  <r>
    <x v="343"/>
    <x v="1"/>
    <x v="0"/>
    <x v="1"/>
    <n v="21"/>
    <n v="80"/>
    <n v="1680"/>
    <n v="0.04"/>
    <n v="67.2"/>
    <x v="3"/>
  </r>
  <r>
    <x v="344"/>
    <x v="1"/>
    <x v="1"/>
    <x v="2"/>
    <n v="2"/>
    <n v="40"/>
    <n v="80"/>
    <n v="0.03"/>
    <n v="2.4"/>
    <x v="4"/>
  </r>
  <r>
    <x v="345"/>
    <x v="2"/>
    <x v="3"/>
    <x v="2"/>
    <n v="17"/>
    <n v="16"/>
    <n v="272"/>
    <n v="0.05"/>
    <n v="13.600000000000001"/>
    <x v="5"/>
  </r>
  <r>
    <x v="346"/>
    <x v="2"/>
    <x v="1"/>
    <x v="0"/>
    <n v="18"/>
    <n v="40"/>
    <n v="720"/>
    <n v="0.06"/>
    <n v="43.199999999999996"/>
    <x v="6"/>
  </r>
  <r>
    <x v="347"/>
    <x v="2"/>
    <x v="1"/>
    <x v="0"/>
    <n v="9"/>
    <n v="40"/>
    <n v="360"/>
    <n v="0.01"/>
    <n v="3.6"/>
    <x v="7"/>
  </r>
  <r>
    <x v="348"/>
    <x v="2"/>
    <x v="1"/>
    <x v="1"/>
    <n v="7"/>
    <n v="40"/>
    <n v="280"/>
    <n v="0.01"/>
    <n v="2.8000000000000003"/>
    <x v="8"/>
  </r>
  <r>
    <x v="349"/>
    <x v="2"/>
    <x v="2"/>
    <x v="2"/>
    <n v="12"/>
    <n v="230"/>
    <n v="2760"/>
    <n v="0.06"/>
    <n v="165.6"/>
    <x v="9"/>
  </r>
  <r>
    <x v="350"/>
    <x v="2"/>
    <x v="3"/>
    <x v="1"/>
    <n v="22"/>
    <n v="16"/>
    <n v="352"/>
    <n v="0.04"/>
    <n v="14.08"/>
    <x v="0"/>
  </r>
  <r>
    <x v="351"/>
    <x v="3"/>
    <x v="4"/>
    <x v="0"/>
    <n v="5"/>
    <n v="150"/>
    <n v="750"/>
    <n v="0.11"/>
    <n v="82.5"/>
    <x v="1"/>
  </r>
  <r>
    <x v="352"/>
    <x v="3"/>
    <x v="0"/>
    <x v="1"/>
    <n v="14"/>
    <n v="80"/>
    <n v="1120"/>
    <n v="0.11"/>
    <n v="123.2"/>
    <x v="2"/>
  </r>
  <r>
    <x v="353"/>
    <x v="3"/>
    <x v="3"/>
    <x v="2"/>
    <n v="8"/>
    <n v="16"/>
    <n v="128"/>
    <n v="0.03"/>
    <n v="3.84"/>
    <x v="3"/>
  </r>
  <r>
    <x v="354"/>
    <x v="3"/>
    <x v="2"/>
    <x v="2"/>
    <n v="6"/>
    <n v="230"/>
    <n v="1380"/>
    <n v="0.05"/>
    <n v="69"/>
    <x v="4"/>
  </r>
  <r>
    <x v="355"/>
    <x v="3"/>
    <x v="3"/>
    <x v="3"/>
    <n v="7"/>
    <n v="16"/>
    <n v="112"/>
    <n v="0.08"/>
    <n v="8.9600000000000009"/>
    <x v="5"/>
  </r>
  <r>
    <x v="356"/>
    <x v="3"/>
    <x v="0"/>
    <x v="1"/>
    <n v="16"/>
    <n v="80"/>
    <n v="1280"/>
    <n v="0.04"/>
    <n v="51.2"/>
    <x v="6"/>
  </r>
  <r>
    <x v="357"/>
    <x v="3"/>
    <x v="4"/>
    <x v="0"/>
    <n v="17"/>
    <n v="150"/>
    <n v="2550"/>
    <n v="0.12"/>
    <n v="306"/>
    <x v="7"/>
  </r>
  <r>
    <x v="358"/>
    <x v="3"/>
    <x v="3"/>
    <x v="1"/>
    <n v="7"/>
    <n v="16"/>
    <n v="112"/>
    <n v="0.08"/>
    <n v="8.9600000000000009"/>
    <x v="8"/>
  </r>
  <r>
    <x v="359"/>
    <x v="4"/>
    <x v="3"/>
    <x v="0"/>
    <n v="21"/>
    <n v="16"/>
    <n v="336"/>
    <n v="0.09"/>
    <n v="30.24"/>
    <x v="9"/>
  </r>
  <r>
    <x v="360"/>
    <x v="4"/>
    <x v="3"/>
    <x v="2"/>
    <n v="23"/>
    <n v="16"/>
    <n v="368"/>
    <n v="0.11"/>
    <n v="40.479999999999997"/>
    <x v="10"/>
  </r>
  <r>
    <x v="361"/>
    <x v="4"/>
    <x v="4"/>
    <x v="2"/>
    <n v="2"/>
    <n v="150"/>
    <n v="300"/>
    <n v="0.02"/>
    <n v="6"/>
    <x v="11"/>
  </r>
  <r>
    <x v="362"/>
    <x v="4"/>
    <x v="4"/>
    <x v="0"/>
    <n v="22"/>
    <n v="150"/>
    <n v="3300"/>
    <n v="7.0000000000000007E-2"/>
    <n v="231.00000000000003"/>
    <x v="0"/>
  </r>
  <r>
    <x v="363"/>
    <x v="4"/>
    <x v="1"/>
    <x v="3"/>
    <n v="22"/>
    <n v="40"/>
    <n v="880"/>
    <n v="0.01"/>
    <n v="8.8000000000000007"/>
    <x v="1"/>
  </r>
  <r>
    <x v="364"/>
    <x v="4"/>
    <x v="0"/>
    <x v="1"/>
    <n v="10"/>
    <n v="80"/>
    <n v="800"/>
    <n v="0.11"/>
    <n v="88"/>
    <x v="2"/>
  </r>
  <r>
    <x v="365"/>
    <x v="4"/>
    <x v="0"/>
    <x v="4"/>
    <n v="13"/>
    <n v="80"/>
    <n v="1040"/>
    <n v="0.05"/>
    <n v="52"/>
    <x v="3"/>
  </r>
  <r>
    <x v="366"/>
    <x v="4"/>
    <x v="2"/>
    <x v="3"/>
    <n v="11"/>
    <n v="230"/>
    <n v="2530"/>
    <n v="0.12"/>
    <n v="303.59999999999997"/>
    <x v="4"/>
  </r>
  <r>
    <x v="367"/>
    <x v="4"/>
    <x v="2"/>
    <x v="0"/>
    <n v="9"/>
    <n v="230"/>
    <n v="2070"/>
    <n v="7.0000000000000007E-2"/>
    <n v="144.9"/>
    <x v="5"/>
  </r>
  <r>
    <x v="368"/>
    <x v="4"/>
    <x v="2"/>
    <x v="3"/>
    <n v="16"/>
    <n v="230"/>
    <n v="3680"/>
    <n v="0.11"/>
    <n v="404.8"/>
    <x v="6"/>
  </r>
  <r>
    <x v="369"/>
    <x v="4"/>
    <x v="2"/>
    <x v="3"/>
    <n v="18"/>
    <n v="230"/>
    <n v="4140"/>
    <n v="0.01"/>
    <n v="41.4"/>
    <x v="7"/>
  </r>
  <r>
    <x v="370"/>
    <x v="4"/>
    <x v="3"/>
    <x v="1"/>
    <n v="15"/>
    <n v="16"/>
    <n v="240"/>
    <n v="0.02"/>
    <n v="4.8"/>
    <x v="8"/>
  </r>
  <r>
    <x v="371"/>
    <x v="4"/>
    <x v="1"/>
    <x v="4"/>
    <n v="18"/>
    <n v="40"/>
    <n v="720"/>
    <n v="0.06"/>
    <n v="43.199999999999996"/>
    <x v="9"/>
  </r>
  <r>
    <x v="372"/>
    <x v="4"/>
    <x v="1"/>
    <x v="3"/>
    <n v="18"/>
    <n v="40"/>
    <n v="720"/>
    <n v="0.04"/>
    <n v="28.8"/>
    <x v="10"/>
  </r>
  <r>
    <x v="373"/>
    <x v="4"/>
    <x v="3"/>
    <x v="3"/>
    <n v="22"/>
    <n v="16"/>
    <n v="352"/>
    <n v="0.03"/>
    <n v="10.559999999999999"/>
    <x v="11"/>
  </r>
  <r>
    <x v="374"/>
    <x v="4"/>
    <x v="3"/>
    <x v="2"/>
    <n v="12"/>
    <n v="16"/>
    <n v="192"/>
    <n v="0.11"/>
    <n v="21.12"/>
    <x v="0"/>
  </r>
  <r>
    <x v="375"/>
    <x v="5"/>
    <x v="0"/>
    <x v="0"/>
    <n v="20"/>
    <n v="80"/>
    <n v="1600"/>
    <n v="0.01"/>
    <n v="16"/>
    <x v="1"/>
  </r>
  <r>
    <x v="376"/>
    <x v="5"/>
    <x v="2"/>
    <x v="2"/>
    <n v="10"/>
    <n v="230"/>
    <n v="2300"/>
    <n v="0.02"/>
    <n v="46"/>
    <x v="2"/>
  </r>
  <r>
    <x v="377"/>
    <x v="5"/>
    <x v="2"/>
    <x v="1"/>
    <n v="9"/>
    <n v="230"/>
    <n v="2070"/>
    <n v="0.03"/>
    <n v="62.099999999999994"/>
    <x v="3"/>
  </r>
  <r>
    <x v="378"/>
    <x v="5"/>
    <x v="0"/>
    <x v="1"/>
    <n v="17"/>
    <n v="80"/>
    <n v="1360"/>
    <n v="0.03"/>
    <n v="40.799999999999997"/>
    <x v="4"/>
  </r>
  <r>
    <x v="379"/>
    <x v="5"/>
    <x v="1"/>
    <x v="4"/>
    <n v="4"/>
    <n v="40"/>
    <n v="160"/>
    <n v="0.09"/>
    <n v="14.399999999999999"/>
    <x v="5"/>
  </r>
  <r>
    <x v="380"/>
    <x v="5"/>
    <x v="4"/>
    <x v="1"/>
    <n v="16"/>
    <n v="150"/>
    <n v="2400"/>
    <n v="0.03"/>
    <n v="72"/>
    <x v="6"/>
  </r>
  <r>
    <x v="381"/>
    <x v="5"/>
    <x v="0"/>
    <x v="2"/>
    <n v="8"/>
    <n v="80"/>
    <n v="640"/>
    <n v="0.02"/>
    <n v="12.8"/>
    <x v="7"/>
  </r>
  <r>
    <x v="382"/>
    <x v="5"/>
    <x v="1"/>
    <x v="3"/>
    <n v="23"/>
    <n v="40"/>
    <n v="920"/>
    <n v="0.06"/>
    <n v="55.199999999999996"/>
    <x v="8"/>
  </r>
  <r>
    <x v="383"/>
    <x v="6"/>
    <x v="4"/>
    <x v="3"/>
    <n v="20"/>
    <n v="150"/>
    <n v="3000"/>
    <n v="0.1"/>
    <n v="300"/>
    <x v="9"/>
  </r>
  <r>
    <x v="384"/>
    <x v="6"/>
    <x v="2"/>
    <x v="4"/>
    <n v="22"/>
    <n v="230"/>
    <n v="5060"/>
    <n v="0.1"/>
    <n v="506"/>
    <x v="10"/>
  </r>
  <r>
    <x v="385"/>
    <x v="6"/>
    <x v="2"/>
    <x v="1"/>
    <n v="6"/>
    <n v="230"/>
    <n v="1380"/>
    <n v="0.1"/>
    <n v="138"/>
    <x v="11"/>
  </r>
  <r>
    <x v="386"/>
    <x v="6"/>
    <x v="0"/>
    <x v="3"/>
    <n v="10"/>
    <n v="80"/>
    <n v="800"/>
    <n v="0.1"/>
    <n v="80"/>
    <x v="0"/>
  </r>
  <r>
    <x v="387"/>
    <x v="6"/>
    <x v="2"/>
    <x v="4"/>
    <n v="21"/>
    <n v="230"/>
    <n v="4830"/>
    <n v="0.05"/>
    <n v="241.5"/>
    <x v="1"/>
  </r>
  <r>
    <x v="388"/>
    <x v="6"/>
    <x v="2"/>
    <x v="0"/>
    <n v="20"/>
    <n v="230"/>
    <n v="4600"/>
    <n v="0.04"/>
    <n v="184"/>
    <x v="2"/>
  </r>
  <r>
    <x v="389"/>
    <x v="6"/>
    <x v="0"/>
    <x v="2"/>
    <n v="20"/>
    <n v="80"/>
    <n v="1600"/>
    <n v="7.0000000000000007E-2"/>
    <n v="112.00000000000001"/>
    <x v="3"/>
  </r>
  <r>
    <x v="390"/>
    <x v="6"/>
    <x v="0"/>
    <x v="2"/>
    <n v="7"/>
    <n v="80"/>
    <n v="560"/>
    <n v="0.05"/>
    <n v="28"/>
    <x v="4"/>
  </r>
  <r>
    <x v="391"/>
    <x v="6"/>
    <x v="0"/>
    <x v="0"/>
    <n v="8"/>
    <n v="80"/>
    <n v="640"/>
    <n v="0.09"/>
    <n v="57.599999999999994"/>
    <x v="5"/>
  </r>
  <r>
    <x v="392"/>
    <x v="6"/>
    <x v="0"/>
    <x v="1"/>
    <n v="3"/>
    <n v="80"/>
    <n v="240"/>
    <n v="0.02"/>
    <n v="4.8"/>
    <x v="6"/>
  </r>
  <r>
    <x v="393"/>
    <x v="6"/>
    <x v="0"/>
    <x v="3"/>
    <n v="8"/>
    <n v="80"/>
    <n v="640"/>
    <n v="0.06"/>
    <n v="38.4"/>
    <x v="7"/>
  </r>
  <r>
    <x v="394"/>
    <x v="6"/>
    <x v="4"/>
    <x v="4"/>
    <n v="13"/>
    <n v="150"/>
    <n v="1950"/>
    <n v="0.11"/>
    <n v="214.5"/>
    <x v="8"/>
  </r>
  <r>
    <x v="395"/>
    <x v="6"/>
    <x v="0"/>
    <x v="3"/>
    <n v="15"/>
    <n v="80"/>
    <n v="1200"/>
    <n v="0.08"/>
    <n v="96"/>
    <x v="9"/>
  </r>
  <r>
    <x v="396"/>
    <x v="6"/>
    <x v="4"/>
    <x v="4"/>
    <n v="7"/>
    <n v="150"/>
    <n v="1050"/>
    <n v="0.02"/>
    <n v="21"/>
    <x v="10"/>
  </r>
  <r>
    <x v="397"/>
    <x v="6"/>
    <x v="1"/>
    <x v="2"/>
    <n v="6"/>
    <n v="40"/>
    <n v="240"/>
    <n v="0.06"/>
    <n v="14.399999999999999"/>
    <x v="11"/>
  </r>
  <r>
    <x v="398"/>
    <x v="6"/>
    <x v="0"/>
    <x v="3"/>
    <n v="23"/>
    <n v="80"/>
    <n v="1840"/>
    <n v="0.11"/>
    <n v="202.4"/>
    <x v="0"/>
  </r>
  <r>
    <x v="399"/>
    <x v="6"/>
    <x v="2"/>
    <x v="2"/>
    <n v="18"/>
    <n v="230"/>
    <n v="4140"/>
    <n v="0.01"/>
    <n v="41.4"/>
    <x v="1"/>
  </r>
  <r>
    <x v="400"/>
    <x v="7"/>
    <x v="0"/>
    <x v="4"/>
    <n v="21"/>
    <n v="80"/>
    <n v="1680"/>
    <n v="0.09"/>
    <n v="151.19999999999999"/>
    <x v="2"/>
  </r>
  <r>
    <x v="401"/>
    <x v="7"/>
    <x v="1"/>
    <x v="2"/>
    <n v="13"/>
    <n v="40"/>
    <n v="520"/>
    <n v="0.02"/>
    <n v="10.4"/>
    <x v="3"/>
  </r>
  <r>
    <x v="402"/>
    <x v="7"/>
    <x v="0"/>
    <x v="2"/>
    <n v="23"/>
    <n v="80"/>
    <n v="1840"/>
    <n v="0.05"/>
    <n v="92"/>
    <x v="4"/>
  </r>
  <r>
    <x v="403"/>
    <x v="7"/>
    <x v="4"/>
    <x v="3"/>
    <n v="15"/>
    <n v="150"/>
    <n v="2250"/>
    <n v="0.05"/>
    <n v="112.5"/>
    <x v="5"/>
  </r>
  <r>
    <x v="404"/>
    <x v="7"/>
    <x v="1"/>
    <x v="0"/>
    <n v="5"/>
    <n v="40"/>
    <n v="200"/>
    <n v="0.09"/>
    <n v="18"/>
    <x v="6"/>
  </r>
  <r>
    <x v="405"/>
    <x v="7"/>
    <x v="3"/>
    <x v="3"/>
    <n v="10"/>
    <n v="16"/>
    <n v="160"/>
    <n v="0.01"/>
    <n v="1.6"/>
    <x v="7"/>
  </r>
  <r>
    <x v="406"/>
    <x v="7"/>
    <x v="2"/>
    <x v="2"/>
    <n v="2"/>
    <n v="230"/>
    <n v="460"/>
    <n v="0.09"/>
    <n v="41.4"/>
    <x v="8"/>
  </r>
  <r>
    <x v="407"/>
    <x v="7"/>
    <x v="0"/>
    <x v="3"/>
    <n v="7"/>
    <n v="80"/>
    <n v="560"/>
    <n v="0.02"/>
    <n v="11.200000000000001"/>
    <x v="9"/>
  </r>
  <r>
    <x v="408"/>
    <x v="7"/>
    <x v="4"/>
    <x v="3"/>
    <n v="22"/>
    <n v="150"/>
    <n v="3300"/>
    <n v="0.05"/>
    <n v="165"/>
    <x v="10"/>
  </r>
  <r>
    <x v="409"/>
    <x v="7"/>
    <x v="1"/>
    <x v="4"/>
    <n v="17"/>
    <n v="40"/>
    <n v="680"/>
    <n v="0.02"/>
    <n v="13.6"/>
    <x v="11"/>
  </r>
  <r>
    <x v="410"/>
    <x v="7"/>
    <x v="3"/>
    <x v="0"/>
    <n v="22"/>
    <n v="16"/>
    <n v="352"/>
    <n v="0.06"/>
    <n v="21.119999999999997"/>
    <x v="0"/>
  </r>
  <r>
    <x v="411"/>
    <x v="7"/>
    <x v="3"/>
    <x v="4"/>
    <n v="3"/>
    <n v="16"/>
    <n v="48"/>
    <n v="0.03"/>
    <n v="1.44"/>
    <x v="1"/>
  </r>
  <r>
    <x v="412"/>
    <x v="7"/>
    <x v="2"/>
    <x v="4"/>
    <n v="2"/>
    <n v="230"/>
    <n v="460"/>
    <n v="0.08"/>
    <n v="36.800000000000004"/>
    <x v="2"/>
  </r>
  <r>
    <x v="413"/>
    <x v="7"/>
    <x v="3"/>
    <x v="0"/>
    <n v="21"/>
    <n v="16"/>
    <n v="336"/>
    <n v="0.09"/>
    <n v="30.24"/>
    <x v="3"/>
  </r>
  <r>
    <x v="414"/>
    <x v="7"/>
    <x v="0"/>
    <x v="3"/>
    <n v="7"/>
    <n v="80"/>
    <n v="560"/>
    <n v="7.0000000000000007E-2"/>
    <n v="39.200000000000003"/>
    <x v="4"/>
  </r>
  <r>
    <x v="415"/>
    <x v="7"/>
    <x v="4"/>
    <x v="1"/>
    <n v="23"/>
    <n v="150"/>
    <n v="3450"/>
    <n v="0.11"/>
    <n v="379.5"/>
    <x v="5"/>
  </r>
  <r>
    <x v="416"/>
    <x v="8"/>
    <x v="4"/>
    <x v="0"/>
    <n v="11"/>
    <n v="150"/>
    <n v="1650"/>
    <n v="0.05"/>
    <n v="82.5"/>
    <x v="6"/>
  </r>
  <r>
    <x v="417"/>
    <x v="8"/>
    <x v="0"/>
    <x v="4"/>
    <n v="16"/>
    <n v="80"/>
    <n v="1280"/>
    <n v="0.05"/>
    <n v="64"/>
    <x v="7"/>
  </r>
  <r>
    <x v="418"/>
    <x v="8"/>
    <x v="2"/>
    <x v="2"/>
    <n v="5"/>
    <n v="230"/>
    <n v="1150"/>
    <n v="0.1"/>
    <n v="115"/>
    <x v="8"/>
  </r>
  <r>
    <x v="419"/>
    <x v="8"/>
    <x v="3"/>
    <x v="0"/>
    <n v="22"/>
    <n v="16"/>
    <n v="352"/>
    <n v="0.01"/>
    <n v="3.52"/>
    <x v="9"/>
  </r>
  <r>
    <x v="420"/>
    <x v="8"/>
    <x v="1"/>
    <x v="4"/>
    <n v="7"/>
    <n v="40"/>
    <n v="280"/>
    <n v="0.12"/>
    <n v="33.6"/>
    <x v="0"/>
  </r>
  <r>
    <x v="421"/>
    <x v="8"/>
    <x v="0"/>
    <x v="1"/>
    <n v="2"/>
    <n v="80"/>
    <n v="160"/>
    <n v="0.04"/>
    <n v="6.4"/>
    <x v="1"/>
  </r>
  <r>
    <x v="422"/>
    <x v="8"/>
    <x v="1"/>
    <x v="3"/>
    <n v="6"/>
    <n v="40"/>
    <n v="240"/>
    <n v="7.0000000000000007E-2"/>
    <n v="16.8"/>
    <x v="2"/>
  </r>
  <r>
    <x v="423"/>
    <x v="8"/>
    <x v="0"/>
    <x v="2"/>
    <n v="6"/>
    <n v="80"/>
    <n v="480"/>
    <n v="0.01"/>
    <n v="4.8"/>
    <x v="3"/>
  </r>
  <r>
    <x v="424"/>
    <x v="8"/>
    <x v="3"/>
    <x v="1"/>
    <n v="22"/>
    <n v="16"/>
    <n v="352"/>
    <n v="0.01"/>
    <n v="3.52"/>
    <x v="4"/>
  </r>
  <r>
    <x v="425"/>
    <x v="8"/>
    <x v="2"/>
    <x v="3"/>
    <n v="7"/>
    <n v="230"/>
    <n v="1610"/>
    <n v="0.06"/>
    <n v="96.6"/>
    <x v="5"/>
  </r>
  <r>
    <x v="426"/>
    <x v="9"/>
    <x v="3"/>
    <x v="3"/>
    <n v="22"/>
    <n v="16"/>
    <n v="352"/>
    <n v="0.03"/>
    <n v="10.559999999999999"/>
    <x v="6"/>
  </r>
  <r>
    <x v="427"/>
    <x v="9"/>
    <x v="1"/>
    <x v="4"/>
    <n v="20"/>
    <n v="40"/>
    <n v="800"/>
    <n v="0.05"/>
    <n v="40"/>
    <x v="7"/>
  </r>
  <r>
    <x v="428"/>
    <x v="9"/>
    <x v="1"/>
    <x v="1"/>
    <n v="19"/>
    <n v="40"/>
    <n v="760"/>
    <n v="0.1"/>
    <n v="76"/>
    <x v="8"/>
  </r>
  <r>
    <x v="429"/>
    <x v="9"/>
    <x v="3"/>
    <x v="0"/>
    <n v="18"/>
    <n v="16"/>
    <n v="288"/>
    <n v="0.05"/>
    <n v="14.4"/>
    <x v="9"/>
  </r>
  <r>
    <x v="430"/>
    <x v="9"/>
    <x v="1"/>
    <x v="2"/>
    <n v="2"/>
    <n v="40"/>
    <n v="80"/>
    <n v="0.02"/>
    <n v="1.6"/>
    <x v="10"/>
  </r>
  <r>
    <x v="431"/>
    <x v="9"/>
    <x v="1"/>
    <x v="3"/>
    <n v="7"/>
    <n v="40"/>
    <n v="280"/>
    <n v="7.0000000000000007E-2"/>
    <n v="19.600000000000001"/>
    <x v="11"/>
  </r>
  <r>
    <x v="432"/>
    <x v="9"/>
    <x v="4"/>
    <x v="2"/>
    <n v="11"/>
    <n v="150"/>
    <n v="1650"/>
    <n v="0.05"/>
    <n v="82.5"/>
    <x v="0"/>
  </r>
  <r>
    <x v="433"/>
    <x v="9"/>
    <x v="0"/>
    <x v="1"/>
    <n v="14"/>
    <n v="80"/>
    <n v="1120"/>
    <n v="0.11"/>
    <n v="123.2"/>
    <x v="1"/>
  </r>
  <r>
    <x v="434"/>
    <x v="9"/>
    <x v="1"/>
    <x v="4"/>
    <n v="7"/>
    <n v="40"/>
    <n v="280"/>
    <n v="0.04"/>
    <n v="11.200000000000001"/>
    <x v="2"/>
  </r>
  <r>
    <x v="435"/>
    <x v="9"/>
    <x v="0"/>
    <x v="3"/>
    <n v="14"/>
    <n v="80"/>
    <n v="1120"/>
    <n v="0.05"/>
    <n v="56"/>
    <x v="3"/>
  </r>
  <r>
    <x v="436"/>
    <x v="10"/>
    <x v="3"/>
    <x v="2"/>
    <n v="12"/>
    <n v="16"/>
    <n v="192"/>
    <n v="0.11"/>
    <n v="21.12"/>
    <x v="4"/>
  </r>
  <r>
    <x v="437"/>
    <x v="10"/>
    <x v="1"/>
    <x v="4"/>
    <n v="11"/>
    <n v="40"/>
    <n v="440"/>
    <n v="0.05"/>
    <n v="22"/>
    <x v="5"/>
  </r>
  <r>
    <x v="438"/>
    <x v="10"/>
    <x v="3"/>
    <x v="2"/>
    <n v="14"/>
    <n v="16"/>
    <n v="224"/>
    <n v="0.01"/>
    <n v="2.2400000000000002"/>
    <x v="6"/>
  </r>
  <r>
    <x v="439"/>
    <x v="10"/>
    <x v="2"/>
    <x v="3"/>
    <n v="2"/>
    <n v="230"/>
    <n v="460"/>
    <n v="0.08"/>
    <n v="36.800000000000004"/>
    <x v="7"/>
  </r>
  <r>
    <x v="440"/>
    <x v="10"/>
    <x v="3"/>
    <x v="0"/>
    <n v="20"/>
    <n v="16"/>
    <n v="320"/>
    <n v="0.11"/>
    <n v="35.200000000000003"/>
    <x v="8"/>
  </r>
  <r>
    <x v="441"/>
    <x v="10"/>
    <x v="3"/>
    <x v="2"/>
    <n v="6"/>
    <n v="16"/>
    <n v="96"/>
    <n v="0.06"/>
    <n v="5.76"/>
    <x v="9"/>
  </r>
  <r>
    <x v="442"/>
    <x v="10"/>
    <x v="0"/>
    <x v="3"/>
    <n v="17"/>
    <n v="80"/>
    <n v="1360"/>
    <n v="0.05"/>
    <n v="68"/>
    <x v="10"/>
  </r>
  <r>
    <x v="443"/>
    <x v="10"/>
    <x v="1"/>
    <x v="0"/>
    <n v="2"/>
    <n v="40"/>
    <n v="80"/>
    <n v="0.12"/>
    <n v="9.6"/>
    <x v="11"/>
  </r>
  <r>
    <x v="444"/>
    <x v="10"/>
    <x v="3"/>
    <x v="0"/>
    <n v="7"/>
    <n v="16"/>
    <n v="112"/>
    <n v="0.12"/>
    <n v="13.44"/>
    <x v="0"/>
  </r>
  <r>
    <x v="445"/>
    <x v="10"/>
    <x v="4"/>
    <x v="0"/>
    <n v="7"/>
    <n v="150"/>
    <n v="1050"/>
    <n v="0.02"/>
    <n v="21"/>
    <x v="1"/>
  </r>
  <r>
    <x v="446"/>
    <x v="10"/>
    <x v="0"/>
    <x v="0"/>
    <n v="20"/>
    <n v="80"/>
    <n v="1600"/>
    <n v="0.01"/>
    <n v="16"/>
    <x v="2"/>
  </r>
  <r>
    <x v="447"/>
    <x v="10"/>
    <x v="0"/>
    <x v="3"/>
    <n v="11"/>
    <n v="80"/>
    <n v="880"/>
    <n v="0.01"/>
    <n v="8.8000000000000007"/>
    <x v="3"/>
  </r>
  <r>
    <x v="448"/>
    <x v="10"/>
    <x v="0"/>
    <x v="2"/>
    <n v="10"/>
    <n v="80"/>
    <n v="800"/>
    <n v="0.08"/>
    <n v="64"/>
    <x v="4"/>
  </r>
  <r>
    <x v="449"/>
    <x v="11"/>
    <x v="0"/>
    <x v="1"/>
    <n v="5"/>
    <n v="80"/>
    <n v="400"/>
    <n v="0.04"/>
    <n v="16"/>
    <x v="5"/>
  </r>
  <r>
    <x v="450"/>
    <x v="11"/>
    <x v="0"/>
    <x v="3"/>
    <n v="4"/>
    <n v="80"/>
    <n v="320"/>
    <n v="0.11"/>
    <n v="35.200000000000003"/>
    <x v="6"/>
  </r>
  <r>
    <x v="451"/>
    <x v="11"/>
    <x v="3"/>
    <x v="2"/>
    <n v="3"/>
    <n v="16"/>
    <n v="48"/>
    <n v="0.05"/>
    <n v="2.4000000000000004"/>
    <x v="7"/>
  </r>
  <r>
    <x v="452"/>
    <x v="11"/>
    <x v="0"/>
    <x v="0"/>
    <n v="9"/>
    <n v="80"/>
    <n v="720"/>
    <n v="0.04"/>
    <n v="28.8"/>
    <x v="8"/>
  </r>
  <r>
    <x v="453"/>
    <x v="11"/>
    <x v="0"/>
    <x v="4"/>
    <n v="16"/>
    <n v="80"/>
    <n v="1280"/>
    <n v="0.09"/>
    <n v="115.19999999999999"/>
    <x v="9"/>
  </r>
  <r>
    <x v="454"/>
    <x v="12"/>
    <x v="3"/>
    <x v="1"/>
    <n v="7"/>
    <n v="16"/>
    <n v="112"/>
    <n v="0.08"/>
    <n v="8.9600000000000009"/>
    <x v="10"/>
  </r>
  <r>
    <x v="455"/>
    <x v="12"/>
    <x v="4"/>
    <x v="1"/>
    <n v="16"/>
    <n v="150"/>
    <n v="2400"/>
    <n v="0.05"/>
    <n v="120"/>
    <x v="11"/>
  </r>
  <r>
    <x v="456"/>
    <x v="12"/>
    <x v="3"/>
    <x v="3"/>
    <n v="10"/>
    <n v="16"/>
    <n v="160"/>
    <n v="0.04"/>
    <n v="6.4"/>
    <x v="0"/>
  </r>
  <r>
    <x v="457"/>
    <x v="12"/>
    <x v="1"/>
    <x v="1"/>
    <n v="4"/>
    <n v="40"/>
    <n v="160"/>
    <n v="0.03"/>
    <n v="4.8"/>
    <x v="1"/>
  </r>
  <r>
    <x v="458"/>
    <x v="12"/>
    <x v="1"/>
    <x v="1"/>
    <n v="15"/>
    <n v="40"/>
    <n v="600"/>
    <n v="0.02"/>
    <n v="12"/>
    <x v="2"/>
  </r>
  <r>
    <x v="459"/>
    <x v="12"/>
    <x v="0"/>
    <x v="2"/>
    <n v="6"/>
    <n v="80"/>
    <n v="480"/>
    <n v="0.09"/>
    <n v="43.199999999999996"/>
    <x v="3"/>
  </r>
  <r>
    <x v="460"/>
    <x v="12"/>
    <x v="4"/>
    <x v="0"/>
    <n v="20"/>
    <n v="150"/>
    <n v="3000"/>
    <n v="0.01"/>
    <n v="30"/>
    <x v="4"/>
  </r>
  <r>
    <x v="461"/>
    <x v="12"/>
    <x v="3"/>
    <x v="0"/>
    <n v="7"/>
    <n v="16"/>
    <n v="112"/>
    <n v="0.08"/>
    <n v="8.9600000000000009"/>
    <x v="5"/>
  </r>
  <r>
    <x v="462"/>
    <x v="12"/>
    <x v="0"/>
    <x v="1"/>
    <n v="2"/>
    <n v="80"/>
    <n v="160"/>
    <n v="7.0000000000000007E-2"/>
    <n v="11.200000000000001"/>
    <x v="6"/>
  </r>
  <r>
    <x v="463"/>
    <x v="12"/>
    <x v="1"/>
    <x v="1"/>
    <n v="23"/>
    <n v="40"/>
    <n v="920"/>
    <n v="0.06"/>
    <n v="55.199999999999996"/>
    <x v="7"/>
  </r>
  <r>
    <x v="464"/>
    <x v="12"/>
    <x v="3"/>
    <x v="0"/>
    <n v="12"/>
    <n v="16"/>
    <n v="192"/>
    <n v="0.11"/>
    <n v="21.12"/>
    <x v="8"/>
  </r>
  <r>
    <x v="465"/>
    <x v="12"/>
    <x v="2"/>
    <x v="3"/>
    <n v="2"/>
    <n v="230"/>
    <n v="460"/>
    <n v="0.09"/>
    <n v="41.4"/>
    <x v="9"/>
  </r>
  <r>
    <x v="466"/>
    <x v="12"/>
    <x v="4"/>
    <x v="0"/>
    <n v="4"/>
    <n v="150"/>
    <n v="600"/>
    <n v="0.06"/>
    <n v="36"/>
    <x v="10"/>
  </r>
  <r>
    <x v="467"/>
    <x v="12"/>
    <x v="1"/>
    <x v="0"/>
    <n v="23"/>
    <n v="40"/>
    <n v="920"/>
    <n v="7.0000000000000007E-2"/>
    <n v="64.400000000000006"/>
    <x v="11"/>
  </r>
  <r>
    <x v="468"/>
    <x v="12"/>
    <x v="3"/>
    <x v="4"/>
    <n v="2"/>
    <n v="16"/>
    <n v="32"/>
    <n v="0.04"/>
    <n v="1.28"/>
    <x v="0"/>
  </r>
  <r>
    <x v="469"/>
    <x v="12"/>
    <x v="4"/>
    <x v="3"/>
    <n v="7"/>
    <n v="150"/>
    <n v="1050"/>
    <n v="0.05"/>
    <n v="52.5"/>
    <x v="1"/>
  </r>
  <r>
    <x v="470"/>
    <x v="13"/>
    <x v="1"/>
    <x v="0"/>
    <n v="15"/>
    <n v="40"/>
    <n v="600"/>
    <n v="0.06"/>
    <n v="36"/>
    <x v="2"/>
  </r>
  <r>
    <x v="471"/>
    <x v="13"/>
    <x v="0"/>
    <x v="3"/>
    <n v="16"/>
    <n v="80"/>
    <n v="1280"/>
    <n v="0.05"/>
    <n v="64"/>
    <x v="3"/>
  </r>
  <r>
    <x v="472"/>
    <x v="13"/>
    <x v="1"/>
    <x v="4"/>
    <n v="16"/>
    <n v="40"/>
    <n v="640"/>
    <n v="0.11"/>
    <n v="70.400000000000006"/>
    <x v="4"/>
  </r>
  <r>
    <x v="473"/>
    <x v="13"/>
    <x v="3"/>
    <x v="4"/>
    <n v="23"/>
    <n v="16"/>
    <n v="368"/>
    <n v="0.01"/>
    <n v="3.68"/>
    <x v="5"/>
  </r>
  <r>
    <x v="474"/>
    <x v="13"/>
    <x v="2"/>
    <x v="1"/>
    <n v="12"/>
    <n v="230"/>
    <n v="2760"/>
    <n v="0.03"/>
    <n v="82.8"/>
    <x v="6"/>
  </r>
  <r>
    <x v="475"/>
    <x v="13"/>
    <x v="3"/>
    <x v="0"/>
    <n v="4"/>
    <n v="16"/>
    <n v="64"/>
    <n v="0.12"/>
    <n v="7.68"/>
    <x v="7"/>
  </r>
  <r>
    <x v="476"/>
    <x v="13"/>
    <x v="4"/>
    <x v="3"/>
    <n v="3"/>
    <n v="150"/>
    <n v="450"/>
    <n v="0.01"/>
    <n v="4.5"/>
    <x v="8"/>
  </r>
  <r>
    <x v="477"/>
    <x v="13"/>
    <x v="4"/>
    <x v="1"/>
    <n v="10"/>
    <n v="150"/>
    <n v="1500"/>
    <n v="0.01"/>
    <n v="15"/>
    <x v="9"/>
  </r>
  <r>
    <x v="478"/>
    <x v="13"/>
    <x v="0"/>
    <x v="1"/>
    <n v="13"/>
    <n v="80"/>
    <n v="1040"/>
    <n v="0.06"/>
    <n v="62.4"/>
    <x v="10"/>
  </r>
  <r>
    <x v="479"/>
    <x v="13"/>
    <x v="2"/>
    <x v="2"/>
    <n v="15"/>
    <n v="230"/>
    <n v="3450"/>
    <n v="0.04"/>
    <n v="138"/>
    <x v="11"/>
  </r>
  <r>
    <x v="480"/>
    <x v="13"/>
    <x v="4"/>
    <x v="0"/>
    <n v="23"/>
    <n v="150"/>
    <n v="3450"/>
    <n v="0.1"/>
    <n v="345"/>
    <x v="0"/>
  </r>
  <r>
    <x v="481"/>
    <x v="13"/>
    <x v="4"/>
    <x v="1"/>
    <n v="15"/>
    <n v="150"/>
    <n v="2250"/>
    <n v="0.12"/>
    <n v="270"/>
    <x v="1"/>
  </r>
  <r>
    <x v="482"/>
    <x v="13"/>
    <x v="4"/>
    <x v="2"/>
    <n v="20"/>
    <n v="150"/>
    <n v="3000"/>
    <n v="0.12"/>
    <n v="360"/>
    <x v="2"/>
  </r>
  <r>
    <x v="483"/>
    <x v="13"/>
    <x v="1"/>
    <x v="3"/>
    <n v="13"/>
    <n v="40"/>
    <n v="520"/>
    <n v="0.09"/>
    <n v="46.8"/>
    <x v="3"/>
  </r>
  <r>
    <x v="484"/>
    <x v="14"/>
    <x v="3"/>
    <x v="2"/>
    <n v="11"/>
    <n v="16"/>
    <n v="176"/>
    <n v="0.04"/>
    <n v="7.04"/>
    <x v="4"/>
  </r>
  <r>
    <x v="485"/>
    <x v="14"/>
    <x v="4"/>
    <x v="2"/>
    <n v="20"/>
    <n v="150"/>
    <n v="3000"/>
    <n v="0.04"/>
    <n v="120"/>
    <x v="5"/>
  </r>
  <r>
    <x v="486"/>
    <x v="14"/>
    <x v="1"/>
    <x v="0"/>
    <n v="18"/>
    <n v="40"/>
    <n v="720"/>
    <n v="0.11"/>
    <n v="79.2"/>
    <x v="6"/>
  </r>
  <r>
    <x v="487"/>
    <x v="14"/>
    <x v="1"/>
    <x v="2"/>
    <n v="2"/>
    <n v="40"/>
    <n v="80"/>
    <n v="0.03"/>
    <n v="2.4"/>
    <x v="7"/>
  </r>
  <r>
    <x v="488"/>
    <x v="14"/>
    <x v="3"/>
    <x v="3"/>
    <n v="15"/>
    <n v="16"/>
    <n v="240"/>
    <n v="0.12"/>
    <n v="28.799999999999997"/>
    <x v="8"/>
  </r>
  <r>
    <x v="489"/>
    <x v="14"/>
    <x v="3"/>
    <x v="2"/>
    <n v="9"/>
    <n v="16"/>
    <n v="144"/>
    <n v="0.05"/>
    <n v="7.2"/>
    <x v="9"/>
  </r>
  <r>
    <x v="490"/>
    <x v="14"/>
    <x v="1"/>
    <x v="4"/>
    <n v="7"/>
    <n v="40"/>
    <n v="280"/>
    <n v="0.05"/>
    <n v="14"/>
    <x v="0"/>
  </r>
  <r>
    <x v="491"/>
    <x v="14"/>
    <x v="4"/>
    <x v="4"/>
    <n v="4"/>
    <n v="150"/>
    <n v="600"/>
    <n v="0.05"/>
    <n v="30"/>
    <x v="1"/>
  </r>
  <r>
    <x v="492"/>
    <x v="14"/>
    <x v="2"/>
    <x v="0"/>
    <n v="15"/>
    <n v="230"/>
    <n v="3450"/>
    <n v="0.05"/>
    <n v="172.5"/>
    <x v="2"/>
  </r>
  <r>
    <x v="493"/>
    <x v="15"/>
    <x v="1"/>
    <x v="1"/>
    <n v="12"/>
    <n v="40"/>
    <n v="480"/>
    <n v="0.1"/>
    <n v="48"/>
    <x v="3"/>
  </r>
  <r>
    <x v="494"/>
    <x v="15"/>
    <x v="2"/>
    <x v="3"/>
    <n v="23"/>
    <n v="230"/>
    <n v="5290"/>
    <n v="0.06"/>
    <n v="317.39999999999998"/>
    <x v="4"/>
  </r>
  <r>
    <x v="495"/>
    <x v="15"/>
    <x v="3"/>
    <x v="0"/>
    <n v="11"/>
    <n v="16"/>
    <n v="176"/>
    <n v="0.09"/>
    <n v="15.84"/>
    <x v="5"/>
  </r>
  <r>
    <x v="496"/>
    <x v="15"/>
    <x v="4"/>
    <x v="0"/>
    <n v="9"/>
    <n v="150"/>
    <n v="1350"/>
    <n v="0.1"/>
    <n v="135"/>
    <x v="6"/>
  </r>
  <r>
    <x v="497"/>
    <x v="15"/>
    <x v="0"/>
    <x v="0"/>
    <n v="18"/>
    <n v="80"/>
    <n v="1440"/>
    <n v="0.02"/>
    <n v="28.8"/>
    <x v="7"/>
  </r>
  <r>
    <x v="498"/>
    <x v="15"/>
    <x v="1"/>
    <x v="4"/>
    <n v="23"/>
    <n v="40"/>
    <n v="920"/>
    <n v="0.04"/>
    <n v="36.800000000000004"/>
    <x v="8"/>
  </r>
  <r>
    <x v="499"/>
    <x v="15"/>
    <x v="3"/>
    <x v="4"/>
    <n v="17"/>
    <n v="16"/>
    <n v="272"/>
    <n v="0.1"/>
    <n v="27.200000000000003"/>
    <x v="9"/>
  </r>
  <r>
    <x v="500"/>
    <x v="15"/>
    <x v="4"/>
    <x v="4"/>
    <n v="17"/>
    <n v="150"/>
    <n v="2550"/>
    <n v="0.02"/>
    <n v="51"/>
    <x v="10"/>
  </r>
  <r>
    <x v="501"/>
    <x v="15"/>
    <x v="0"/>
    <x v="3"/>
    <n v="21"/>
    <n v="80"/>
    <n v="1680"/>
    <n v="0.02"/>
    <n v="33.6"/>
    <x v="11"/>
  </r>
  <r>
    <x v="502"/>
    <x v="15"/>
    <x v="1"/>
    <x v="3"/>
    <n v="11"/>
    <n v="40"/>
    <n v="440"/>
    <n v="0.06"/>
    <n v="26.4"/>
    <x v="0"/>
  </r>
  <r>
    <x v="503"/>
    <x v="15"/>
    <x v="1"/>
    <x v="0"/>
    <n v="19"/>
    <n v="40"/>
    <n v="760"/>
    <n v="0.04"/>
    <n v="30.400000000000002"/>
    <x v="1"/>
  </r>
  <r>
    <x v="504"/>
    <x v="15"/>
    <x v="1"/>
    <x v="0"/>
    <n v="23"/>
    <n v="40"/>
    <n v="920"/>
    <n v="0.03"/>
    <n v="27.599999999999998"/>
    <x v="2"/>
  </r>
  <r>
    <x v="505"/>
    <x v="15"/>
    <x v="2"/>
    <x v="1"/>
    <n v="14"/>
    <n v="230"/>
    <n v="3220"/>
    <n v="0.05"/>
    <n v="161"/>
    <x v="3"/>
  </r>
  <r>
    <x v="506"/>
    <x v="15"/>
    <x v="1"/>
    <x v="2"/>
    <n v="18"/>
    <n v="40"/>
    <n v="720"/>
    <n v="0.03"/>
    <n v="21.599999999999998"/>
    <x v="4"/>
  </r>
  <r>
    <x v="507"/>
    <x v="15"/>
    <x v="4"/>
    <x v="1"/>
    <n v="2"/>
    <n v="150"/>
    <n v="300"/>
    <n v="0.09"/>
    <n v="27"/>
    <x v="5"/>
  </r>
  <r>
    <x v="508"/>
    <x v="15"/>
    <x v="2"/>
    <x v="1"/>
    <n v="7"/>
    <n v="230"/>
    <n v="1610"/>
    <n v="0.05"/>
    <n v="80.5"/>
    <x v="6"/>
  </r>
  <r>
    <x v="509"/>
    <x v="16"/>
    <x v="4"/>
    <x v="2"/>
    <n v="9"/>
    <n v="150"/>
    <n v="1350"/>
    <n v="0.02"/>
    <n v="27"/>
    <x v="7"/>
  </r>
  <r>
    <x v="510"/>
    <x v="16"/>
    <x v="1"/>
    <x v="4"/>
    <n v="3"/>
    <n v="40"/>
    <n v="120"/>
    <n v="0.03"/>
    <n v="3.5999999999999996"/>
    <x v="8"/>
  </r>
  <r>
    <x v="511"/>
    <x v="16"/>
    <x v="0"/>
    <x v="3"/>
    <n v="2"/>
    <n v="80"/>
    <n v="160"/>
    <n v="0.08"/>
    <n v="12.8"/>
    <x v="9"/>
  </r>
  <r>
    <x v="512"/>
    <x v="16"/>
    <x v="3"/>
    <x v="4"/>
    <n v="19"/>
    <n v="16"/>
    <n v="304"/>
    <n v="0.02"/>
    <n v="6.08"/>
    <x v="10"/>
  </r>
  <r>
    <x v="513"/>
    <x v="16"/>
    <x v="3"/>
    <x v="1"/>
    <n v="21"/>
    <n v="16"/>
    <n v="336"/>
    <n v="0.02"/>
    <n v="6.72"/>
    <x v="11"/>
  </r>
  <r>
    <x v="514"/>
    <x v="16"/>
    <x v="0"/>
    <x v="3"/>
    <n v="21"/>
    <n v="80"/>
    <n v="1680"/>
    <n v="0.05"/>
    <n v="84"/>
    <x v="0"/>
  </r>
  <r>
    <x v="515"/>
    <x v="16"/>
    <x v="2"/>
    <x v="4"/>
    <n v="3"/>
    <n v="230"/>
    <n v="690"/>
    <n v="0.1"/>
    <n v="69"/>
    <x v="1"/>
  </r>
  <r>
    <x v="516"/>
    <x v="16"/>
    <x v="1"/>
    <x v="2"/>
    <n v="4"/>
    <n v="40"/>
    <n v="160"/>
    <n v="0.11"/>
    <n v="17.600000000000001"/>
    <x v="2"/>
  </r>
  <r>
    <x v="517"/>
    <x v="16"/>
    <x v="4"/>
    <x v="4"/>
    <n v="7"/>
    <n v="150"/>
    <n v="1050"/>
    <n v="0.03"/>
    <n v="31.5"/>
    <x v="3"/>
  </r>
  <r>
    <x v="518"/>
    <x v="16"/>
    <x v="3"/>
    <x v="2"/>
    <n v="11"/>
    <n v="16"/>
    <n v="176"/>
    <n v="0.12"/>
    <n v="21.119999999999997"/>
    <x v="4"/>
  </r>
  <r>
    <x v="519"/>
    <x v="16"/>
    <x v="0"/>
    <x v="0"/>
    <n v="17"/>
    <n v="80"/>
    <n v="1360"/>
    <n v="7.0000000000000007E-2"/>
    <n v="95.2"/>
    <x v="5"/>
  </r>
  <r>
    <x v="520"/>
    <x v="16"/>
    <x v="3"/>
    <x v="3"/>
    <n v="5"/>
    <n v="16"/>
    <n v="80"/>
    <n v="0.09"/>
    <n v="7.1999999999999993"/>
    <x v="6"/>
  </r>
  <r>
    <x v="521"/>
    <x v="16"/>
    <x v="3"/>
    <x v="4"/>
    <n v="13"/>
    <n v="16"/>
    <n v="208"/>
    <n v="7.0000000000000007E-2"/>
    <n v="14.560000000000002"/>
    <x v="7"/>
  </r>
  <r>
    <x v="522"/>
    <x v="16"/>
    <x v="0"/>
    <x v="4"/>
    <n v="9"/>
    <n v="80"/>
    <n v="720"/>
    <n v="0.02"/>
    <n v="14.4"/>
    <x v="8"/>
  </r>
  <r>
    <x v="523"/>
    <x v="17"/>
    <x v="0"/>
    <x v="4"/>
    <n v="9"/>
    <n v="80"/>
    <n v="720"/>
    <n v="0.02"/>
    <n v="14.4"/>
    <x v="9"/>
  </r>
  <r>
    <x v="524"/>
    <x v="17"/>
    <x v="0"/>
    <x v="3"/>
    <n v="22"/>
    <n v="80"/>
    <n v="1760"/>
    <n v="0.03"/>
    <n v="52.8"/>
    <x v="10"/>
  </r>
  <r>
    <x v="525"/>
    <x v="17"/>
    <x v="4"/>
    <x v="0"/>
    <n v="13"/>
    <n v="150"/>
    <n v="1950"/>
    <n v="0.05"/>
    <n v="97.5"/>
    <x v="11"/>
  </r>
  <r>
    <x v="526"/>
    <x v="17"/>
    <x v="0"/>
    <x v="0"/>
    <n v="14"/>
    <n v="80"/>
    <n v="1120"/>
    <n v="0.08"/>
    <n v="89.600000000000009"/>
    <x v="0"/>
  </r>
  <r>
    <x v="527"/>
    <x v="17"/>
    <x v="0"/>
    <x v="0"/>
    <n v="6"/>
    <n v="80"/>
    <n v="480"/>
    <n v="7.0000000000000007E-2"/>
    <n v="33.6"/>
    <x v="1"/>
  </r>
  <r>
    <x v="528"/>
    <x v="17"/>
    <x v="0"/>
    <x v="0"/>
    <n v="16"/>
    <n v="80"/>
    <n v="1280"/>
    <n v="0.03"/>
    <n v="38.4"/>
    <x v="2"/>
  </r>
  <r>
    <x v="529"/>
    <x v="17"/>
    <x v="4"/>
    <x v="2"/>
    <n v="22"/>
    <n v="150"/>
    <n v="3300"/>
    <n v="0.09"/>
    <n v="297"/>
    <x v="3"/>
  </r>
  <r>
    <x v="530"/>
    <x v="17"/>
    <x v="4"/>
    <x v="3"/>
    <n v="4"/>
    <n v="150"/>
    <n v="600"/>
    <n v="0.12"/>
    <n v="72"/>
    <x v="4"/>
  </r>
  <r>
    <x v="531"/>
    <x v="17"/>
    <x v="2"/>
    <x v="4"/>
    <n v="7"/>
    <n v="230"/>
    <n v="1610"/>
    <n v="0.05"/>
    <n v="80.5"/>
    <x v="5"/>
  </r>
  <r>
    <x v="532"/>
    <x v="17"/>
    <x v="4"/>
    <x v="3"/>
    <n v="20"/>
    <n v="150"/>
    <n v="3000"/>
    <n v="0.1"/>
    <n v="300"/>
    <x v="6"/>
  </r>
  <r>
    <x v="533"/>
    <x v="17"/>
    <x v="2"/>
    <x v="3"/>
    <n v="8"/>
    <n v="230"/>
    <n v="1840"/>
    <n v="0.05"/>
    <n v="92"/>
    <x v="7"/>
  </r>
  <r>
    <x v="534"/>
    <x v="18"/>
    <x v="1"/>
    <x v="3"/>
    <n v="9"/>
    <n v="40"/>
    <n v="360"/>
    <n v="0.06"/>
    <n v="21.599999999999998"/>
    <x v="8"/>
  </r>
  <r>
    <x v="535"/>
    <x v="18"/>
    <x v="2"/>
    <x v="3"/>
    <n v="19"/>
    <n v="230"/>
    <n v="4370"/>
    <n v="0.06"/>
    <n v="262.2"/>
    <x v="9"/>
  </r>
  <r>
    <x v="536"/>
    <x v="18"/>
    <x v="1"/>
    <x v="3"/>
    <n v="22"/>
    <n v="40"/>
    <n v="880"/>
    <n v="0.01"/>
    <n v="8.8000000000000007"/>
    <x v="10"/>
  </r>
  <r>
    <x v="537"/>
    <x v="18"/>
    <x v="1"/>
    <x v="0"/>
    <n v="22"/>
    <n v="40"/>
    <n v="880"/>
    <n v="0.02"/>
    <n v="17.600000000000001"/>
    <x v="11"/>
  </r>
  <r>
    <x v="538"/>
    <x v="18"/>
    <x v="0"/>
    <x v="4"/>
    <n v="10"/>
    <n v="80"/>
    <n v="800"/>
    <n v="0.06"/>
    <n v="48"/>
    <x v="0"/>
  </r>
  <r>
    <x v="539"/>
    <x v="18"/>
    <x v="1"/>
    <x v="3"/>
    <n v="7"/>
    <n v="40"/>
    <n v="280"/>
    <n v="0.11"/>
    <n v="30.8"/>
    <x v="1"/>
  </r>
  <r>
    <x v="540"/>
    <x v="18"/>
    <x v="2"/>
    <x v="0"/>
    <n v="7"/>
    <n v="230"/>
    <n v="1610"/>
    <n v="0.08"/>
    <n v="128.80000000000001"/>
    <x v="2"/>
  </r>
  <r>
    <x v="541"/>
    <x v="18"/>
    <x v="3"/>
    <x v="0"/>
    <n v="18"/>
    <n v="16"/>
    <n v="288"/>
    <n v="0.11"/>
    <n v="31.68"/>
    <x v="3"/>
  </r>
  <r>
    <x v="542"/>
    <x v="18"/>
    <x v="2"/>
    <x v="2"/>
    <n v="14"/>
    <n v="230"/>
    <n v="3220"/>
    <n v="0.12"/>
    <n v="386.4"/>
    <x v="4"/>
  </r>
  <r>
    <x v="543"/>
    <x v="18"/>
    <x v="1"/>
    <x v="1"/>
    <n v="21"/>
    <n v="40"/>
    <n v="840"/>
    <n v="0.03"/>
    <n v="25.2"/>
    <x v="5"/>
  </r>
  <r>
    <x v="544"/>
    <x v="18"/>
    <x v="4"/>
    <x v="0"/>
    <n v="3"/>
    <n v="150"/>
    <n v="450"/>
    <n v="0.03"/>
    <n v="13.5"/>
    <x v="6"/>
  </r>
  <r>
    <x v="545"/>
    <x v="18"/>
    <x v="0"/>
    <x v="0"/>
    <n v="12"/>
    <n v="80"/>
    <n v="960"/>
    <n v="0.04"/>
    <n v="38.4"/>
    <x v="7"/>
  </r>
  <r>
    <x v="546"/>
    <x v="19"/>
    <x v="4"/>
    <x v="3"/>
    <n v="6"/>
    <n v="150"/>
    <n v="900"/>
    <n v="0.03"/>
    <n v="27"/>
    <x v="8"/>
  </r>
  <r>
    <x v="547"/>
    <x v="19"/>
    <x v="1"/>
    <x v="2"/>
    <n v="20"/>
    <n v="40"/>
    <n v="800"/>
    <n v="0.01"/>
    <n v="8"/>
    <x v="9"/>
  </r>
  <r>
    <x v="548"/>
    <x v="19"/>
    <x v="2"/>
    <x v="0"/>
    <n v="3"/>
    <n v="230"/>
    <n v="690"/>
    <n v="0.06"/>
    <n v="41.4"/>
    <x v="6"/>
  </r>
  <r>
    <x v="549"/>
    <x v="19"/>
    <x v="2"/>
    <x v="3"/>
    <n v="3"/>
    <n v="230"/>
    <n v="690"/>
    <n v="0.01"/>
    <n v="6.9"/>
    <x v="7"/>
  </r>
  <r>
    <x v="550"/>
    <x v="19"/>
    <x v="1"/>
    <x v="0"/>
    <n v="20"/>
    <n v="40"/>
    <n v="800"/>
    <n v="0.04"/>
    <n v="32"/>
    <x v="8"/>
  </r>
  <r>
    <x v="551"/>
    <x v="19"/>
    <x v="0"/>
    <x v="2"/>
    <n v="16"/>
    <n v="80"/>
    <n v="1280"/>
    <n v="0.02"/>
    <n v="25.6"/>
    <x v="9"/>
  </r>
  <r>
    <x v="552"/>
    <x v="19"/>
    <x v="4"/>
    <x v="0"/>
    <n v="8"/>
    <n v="150"/>
    <n v="1200"/>
    <n v="0.09"/>
    <n v="108"/>
    <x v="6"/>
  </r>
  <r>
    <x v="553"/>
    <x v="20"/>
    <x v="2"/>
    <x v="1"/>
    <n v="7"/>
    <n v="230"/>
    <n v="1610"/>
    <n v="0.01"/>
    <n v="16.100000000000001"/>
    <x v="7"/>
  </r>
  <r>
    <x v="554"/>
    <x v="20"/>
    <x v="4"/>
    <x v="1"/>
    <n v="23"/>
    <n v="150"/>
    <n v="3450"/>
    <n v="0.11"/>
    <n v="379.5"/>
    <x v="8"/>
  </r>
  <r>
    <x v="555"/>
    <x v="20"/>
    <x v="1"/>
    <x v="4"/>
    <n v="16"/>
    <n v="40"/>
    <n v="640"/>
    <n v="0.09"/>
    <n v="57.599999999999994"/>
    <x v="9"/>
  </r>
  <r>
    <x v="556"/>
    <x v="20"/>
    <x v="1"/>
    <x v="4"/>
    <n v="20"/>
    <n v="40"/>
    <n v="800"/>
    <n v="0.1"/>
    <n v="80"/>
    <x v="6"/>
  </r>
  <r>
    <x v="557"/>
    <x v="20"/>
    <x v="1"/>
    <x v="1"/>
    <n v="18"/>
    <n v="40"/>
    <n v="720"/>
    <n v="0.08"/>
    <n v="57.6"/>
    <x v="7"/>
  </r>
  <r>
    <x v="558"/>
    <x v="20"/>
    <x v="0"/>
    <x v="4"/>
    <n v="22"/>
    <n v="80"/>
    <n v="1760"/>
    <n v="0.09"/>
    <n v="158.4"/>
    <x v="8"/>
  </r>
  <r>
    <x v="559"/>
    <x v="20"/>
    <x v="4"/>
    <x v="1"/>
    <n v="22"/>
    <n v="150"/>
    <n v="3300"/>
    <n v="0.02"/>
    <n v="66"/>
    <x v="9"/>
  </r>
  <r>
    <x v="560"/>
    <x v="20"/>
    <x v="4"/>
    <x v="1"/>
    <n v="20"/>
    <n v="150"/>
    <n v="3000"/>
    <n v="0.09"/>
    <n v="270"/>
    <x v="6"/>
  </r>
  <r>
    <x v="561"/>
    <x v="20"/>
    <x v="3"/>
    <x v="0"/>
    <n v="10"/>
    <n v="16"/>
    <n v="160"/>
    <n v="0.08"/>
    <n v="12.8"/>
    <x v="7"/>
  </r>
  <r>
    <x v="562"/>
    <x v="20"/>
    <x v="1"/>
    <x v="2"/>
    <n v="12"/>
    <n v="40"/>
    <n v="480"/>
    <n v="0.02"/>
    <n v="9.6"/>
    <x v="8"/>
  </r>
  <r>
    <x v="563"/>
    <x v="20"/>
    <x v="4"/>
    <x v="0"/>
    <n v="4"/>
    <n v="150"/>
    <n v="600"/>
    <n v="0.1"/>
    <n v="60"/>
    <x v="9"/>
  </r>
  <r>
    <x v="564"/>
    <x v="20"/>
    <x v="0"/>
    <x v="2"/>
    <n v="5"/>
    <n v="80"/>
    <n v="400"/>
    <n v="0.09"/>
    <n v="36"/>
    <x v="6"/>
  </r>
  <r>
    <x v="565"/>
    <x v="20"/>
    <x v="1"/>
    <x v="0"/>
    <n v="11"/>
    <n v="40"/>
    <n v="440"/>
    <n v="0.04"/>
    <n v="17.600000000000001"/>
    <x v="7"/>
  </r>
  <r>
    <x v="566"/>
    <x v="20"/>
    <x v="4"/>
    <x v="1"/>
    <n v="13"/>
    <n v="150"/>
    <n v="1950"/>
    <n v="0.08"/>
    <n v="156"/>
    <x v="8"/>
  </r>
  <r>
    <x v="567"/>
    <x v="20"/>
    <x v="0"/>
    <x v="3"/>
    <n v="19"/>
    <n v="80"/>
    <n v="1520"/>
    <n v="0.02"/>
    <n v="30.400000000000002"/>
    <x v="9"/>
  </r>
  <r>
    <x v="568"/>
    <x v="20"/>
    <x v="2"/>
    <x v="1"/>
    <n v="7"/>
    <n v="230"/>
    <n v="1610"/>
    <n v="0.01"/>
    <n v="16.100000000000001"/>
    <x v="6"/>
  </r>
  <r>
    <x v="569"/>
    <x v="21"/>
    <x v="0"/>
    <x v="4"/>
    <n v="16"/>
    <n v="80"/>
    <n v="1280"/>
    <n v="0.09"/>
    <n v="115.19999999999999"/>
    <x v="7"/>
  </r>
  <r>
    <x v="570"/>
    <x v="21"/>
    <x v="2"/>
    <x v="0"/>
    <n v="7"/>
    <n v="230"/>
    <n v="1610"/>
    <n v="0.02"/>
    <n v="32.200000000000003"/>
    <x v="8"/>
  </r>
  <r>
    <x v="571"/>
    <x v="21"/>
    <x v="1"/>
    <x v="0"/>
    <n v="5"/>
    <n v="40"/>
    <n v="200"/>
    <n v="0.06"/>
    <n v="12"/>
    <x v="9"/>
  </r>
  <r>
    <x v="572"/>
    <x v="21"/>
    <x v="4"/>
    <x v="2"/>
    <n v="9"/>
    <n v="150"/>
    <n v="1350"/>
    <n v="0.06"/>
    <n v="81"/>
    <x v="6"/>
  </r>
  <r>
    <x v="573"/>
    <x v="21"/>
    <x v="1"/>
    <x v="4"/>
    <n v="20"/>
    <n v="40"/>
    <n v="800"/>
    <n v="7.0000000000000007E-2"/>
    <n v="56.000000000000007"/>
    <x v="7"/>
  </r>
  <r>
    <x v="574"/>
    <x v="21"/>
    <x v="3"/>
    <x v="1"/>
    <n v="20"/>
    <n v="16"/>
    <n v="320"/>
    <n v="0.06"/>
    <n v="19.2"/>
    <x v="8"/>
  </r>
  <r>
    <x v="575"/>
    <x v="21"/>
    <x v="1"/>
    <x v="4"/>
    <n v="5"/>
    <n v="40"/>
    <n v="200"/>
    <n v="0.03"/>
    <n v="6"/>
    <x v="9"/>
  </r>
  <r>
    <x v="576"/>
    <x v="22"/>
    <x v="0"/>
    <x v="3"/>
    <n v="7"/>
    <n v="80"/>
    <n v="560"/>
    <n v="7.0000000000000007E-2"/>
    <n v="39.200000000000003"/>
    <x v="6"/>
  </r>
  <r>
    <x v="577"/>
    <x v="22"/>
    <x v="3"/>
    <x v="4"/>
    <n v="22"/>
    <n v="16"/>
    <n v="352"/>
    <n v="0.12"/>
    <n v="42.239999999999995"/>
    <x v="7"/>
  </r>
  <r>
    <x v="578"/>
    <x v="22"/>
    <x v="3"/>
    <x v="4"/>
    <n v="11"/>
    <n v="16"/>
    <n v="176"/>
    <n v="0.12"/>
    <n v="21.119999999999997"/>
    <x v="8"/>
  </r>
  <r>
    <x v="579"/>
    <x v="22"/>
    <x v="2"/>
    <x v="3"/>
    <n v="17"/>
    <n v="230"/>
    <n v="3910"/>
    <n v="0.12"/>
    <n v="469.2"/>
    <x v="9"/>
  </r>
  <r>
    <x v="580"/>
    <x v="22"/>
    <x v="0"/>
    <x v="0"/>
    <n v="7"/>
    <n v="80"/>
    <n v="560"/>
    <n v="0.02"/>
    <n v="11.200000000000001"/>
    <x v="6"/>
  </r>
  <r>
    <x v="581"/>
    <x v="22"/>
    <x v="3"/>
    <x v="1"/>
    <n v="5"/>
    <n v="16"/>
    <n v="80"/>
    <n v="0.11"/>
    <n v="8.8000000000000007"/>
    <x v="7"/>
  </r>
  <r>
    <x v="582"/>
    <x v="22"/>
    <x v="4"/>
    <x v="4"/>
    <n v="18"/>
    <n v="150"/>
    <n v="2700"/>
    <n v="0.12"/>
    <n v="324"/>
    <x v="8"/>
  </r>
  <r>
    <x v="583"/>
    <x v="22"/>
    <x v="1"/>
    <x v="4"/>
    <n v="10"/>
    <n v="40"/>
    <n v="400"/>
    <n v="0.03"/>
    <n v="12"/>
    <x v="9"/>
  </r>
  <r>
    <x v="584"/>
    <x v="22"/>
    <x v="1"/>
    <x v="4"/>
    <n v="14"/>
    <n v="40"/>
    <n v="560"/>
    <n v="0.11"/>
    <n v="61.6"/>
    <x v="6"/>
  </r>
  <r>
    <x v="585"/>
    <x v="22"/>
    <x v="1"/>
    <x v="4"/>
    <n v="16"/>
    <n v="40"/>
    <n v="640"/>
    <n v="0.09"/>
    <n v="57.599999999999994"/>
    <x v="7"/>
  </r>
  <r>
    <x v="586"/>
    <x v="23"/>
    <x v="1"/>
    <x v="3"/>
    <n v="23"/>
    <n v="40"/>
    <n v="920"/>
    <n v="0.06"/>
    <n v="55.199999999999996"/>
    <x v="8"/>
  </r>
  <r>
    <x v="587"/>
    <x v="23"/>
    <x v="2"/>
    <x v="3"/>
    <n v="8"/>
    <n v="230"/>
    <n v="1840"/>
    <n v="0.05"/>
    <n v="92"/>
    <x v="9"/>
  </r>
  <r>
    <x v="588"/>
    <x v="23"/>
    <x v="3"/>
    <x v="3"/>
    <n v="14"/>
    <n v="16"/>
    <n v="224"/>
    <n v="0.12"/>
    <n v="26.88"/>
    <x v="6"/>
  </r>
  <r>
    <x v="589"/>
    <x v="23"/>
    <x v="0"/>
    <x v="0"/>
    <n v="17"/>
    <n v="80"/>
    <n v="1360"/>
    <n v="0.09"/>
    <n v="122.39999999999999"/>
    <x v="7"/>
  </r>
  <r>
    <x v="590"/>
    <x v="23"/>
    <x v="4"/>
    <x v="2"/>
    <n v="11"/>
    <n v="150"/>
    <n v="1650"/>
    <n v="0.11"/>
    <n v="181.5"/>
    <x v="8"/>
  </r>
  <r>
    <x v="591"/>
    <x v="23"/>
    <x v="1"/>
    <x v="3"/>
    <n v="15"/>
    <n v="40"/>
    <n v="600"/>
    <n v="0.03"/>
    <n v="18"/>
    <x v="9"/>
  </r>
  <r>
    <x v="592"/>
    <x v="23"/>
    <x v="0"/>
    <x v="4"/>
    <n v="9"/>
    <n v="80"/>
    <n v="720"/>
    <n v="7.0000000000000007E-2"/>
    <n v="50.400000000000006"/>
    <x v="6"/>
  </r>
  <r>
    <x v="593"/>
    <x v="23"/>
    <x v="2"/>
    <x v="1"/>
    <n v="22"/>
    <n v="230"/>
    <n v="5060"/>
    <n v="0.04"/>
    <n v="202.4"/>
    <x v="7"/>
  </r>
  <r>
    <x v="594"/>
    <x v="23"/>
    <x v="2"/>
    <x v="1"/>
    <n v="11"/>
    <n v="230"/>
    <n v="2530"/>
    <n v="0.1"/>
    <n v="253"/>
    <x v="8"/>
  </r>
  <r>
    <x v="595"/>
    <x v="23"/>
    <x v="1"/>
    <x v="2"/>
    <n v="11"/>
    <n v="40"/>
    <n v="440"/>
    <n v="0.12"/>
    <n v="52.8"/>
    <x v="9"/>
  </r>
  <r>
    <x v="596"/>
    <x v="23"/>
    <x v="1"/>
    <x v="3"/>
    <n v="9"/>
    <n v="40"/>
    <n v="360"/>
    <n v="0.06"/>
    <n v="21.599999999999998"/>
    <x v="6"/>
  </r>
  <r>
    <x v="597"/>
    <x v="24"/>
    <x v="1"/>
    <x v="3"/>
    <n v="13"/>
    <n v="40"/>
    <n v="520"/>
    <n v="0.09"/>
    <n v="46.8"/>
    <x v="7"/>
  </r>
  <r>
    <x v="598"/>
    <x v="24"/>
    <x v="1"/>
    <x v="1"/>
    <n v="4"/>
    <n v="40"/>
    <n v="160"/>
    <n v="0.12"/>
    <n v="19.2"/>
    <x v="8"/>
  </r>
  <r>
    <x v="599"/>
    <x v="24"/>
    <x v="4"/>
    <x v="0"/>
    <n v="22"/>
    <n v="150"/>
    <n v="3300"/>
    <n v="0.05"/>
    <n v="165"/>
    <x v="9"/>
  </r>
  <r>
    <x v="600"/>
    <x v="24"/>
    <x v="1"/>
    <x v="4"/>
    <n v="21"/>
    <n v="40"/>
    <n v="840"/>
    <n v="0.01"/>
    <n v="8.4"/>
    <x v="6"/>
  </r>
  <r>
    <x v="601"/>
    <x v="24"/>
    <x v="3"/>
    <x v="0"/>
    <n v="16"/>
    <n v="16"/>
    <n v="256"/>
    <n v="0.03"/>
    <n v="7.68"/>
    <x v="7"/>
  </r>
  <r>
    <x v="602"/>
    <x v="24"/>
    <x v="0"/>
    <x v="3"/>
    <n v="16"/>
    <n v="80"/>
    <n v="1280"/>
    <n v="7.0000000000000007E-2"/>
    <n v="89.600000000000009"/>
    <x v="8"/>
  </r>
  <r>
    <x v="603"/>
    <x v="24"/>
    <x v="0"/>
    <x v="1"/>
    <n v="15"/>
    <n v="80"/>
    <n v="1200"/>
    <n v="0.12"/>
    <n v="144"/>
    <x v="9"/>
  </r>
  <r>
    <x v="604"/>
    <x v="24"/>
    <x v="4"/>
    <x v="0"/>
    <n v="20"/>
    <n v="150"/>
    <n v="3000"/>
    <n v="0.03"/>
    <n v="90"/>
    <x v="6"/>
  </r>
  <r>
    <x v="605"/>
    <x v="24"/>
    <x v="1"/>
    <x v="3"/>
    <n v="13"/>
    <n v="40"/>
    <n v="520"/>
    <n v="0.06"/>
    <n v="31.2"/>
    <x v="7"/>
  </r>
  <r>
    <x v="606"/>
    <x v="24"/>
    <x v="3"/>
    <x v="4"/>
    <n v="3"/>
    <n v="16"/>
    <n v="48"/>
    <n v="0.06"/>
    <n v="2.88"/>
    <x v="8"/>
  </r>
  <r>
    <x v="607"/>
    <x v="24"/>
    <x v="3"/>
    <x v="2"/>
    <n v="11"/>
    <n v="16"/>
    <n v="176"/>
    <n v="0.04"/>
    <n v="7.04"/>
    <x v="9"/>
  </r>
  <r>
    <x v="608"/>
    <x v="25"/>
    <x v="1"/>
    <x v="4"/>
    <n v="16"/>
    <n v="40"/>
    <n v="640"/>
    <n v="0.09"/>
    <n v="57.599999999999994"/>
    <x v="6"/>
  </r>
  <r>
    <x v="609"/>
    <x v="25"/>
    <x v="1"/>
    <x v="2"/>
    <n v="4"/>
    <n v="40"/>
    <n v="160"/>
    <n v="0.06"/>
    <n v="9.6"/>
    <x v="7"/>
  </r>
  <r>
    <x v="610"/>
    <x v="25"/>
    <x v="1"/>
    <x v="2"/>
    <n v="20"/>
    <n v="40"/>
    <n v="800"/>
    <n v="0.01"/>
    <n v="8"/>
    <x v="8"/>
  </r>
  <r>
    <x v="611"/>
    <x v="25"/>
    <x v="1"/>
    <x v="2"/>
    <n v="4"/>
    <n v="40"/>
    <n v="160"/>
    <n v="0.1"/>
    <n v="16"/>
    <x v="9"/>
  </r>
  <r>
    <x v="612"/>
    <x v="25"/>
    <x v="0"/>
    <x v="1"/>
    <n v="14"/>
    <n v="80"/>
    <n v="1120"/>
    <n v="0.06"/>
    <n v="67.2"/>
    <x v="6"/>
  </r>
  <r>
    <x v="613"/>
    <x v="25"/>
    <x v="4"/>
    <x v="1"/>
    <n v="15"/>
    <n v="150"/>
    <n v="2250"/>
    <n v="0.02"/>
    <n v="45"/>
    <x v="7"/>
  </r>
  <r>
    <x v="614"/>
    <x v="25"/>
    <x v="0"/>
    <x v="2"/>
    <n v="14"/>
    <n v="80"/>
    <n v="1120"/>
    <n v="0.1"/>
    <n v="112"/>
    <x v="8"/>
  </r>
  <r>
    <x v="615"/>
    <x v="25"/>
    <x v="4"/>
    <x v="0"/>
    <n v="20"/>
    <n v="150"/>
    <n v="3000"/>
    <n v="0.04"/>
    <n v="120"/>
    <x v="9"/>
  </r>
  <r>
    <x v="616"/>
    <x v="25"/>
    <x v="0"/>
    <x v="4"/>
    <n v="22"/>
    <n v="80"/>
    <n v="1760"/>
    <n v="0.1"/>
    <n v="176"/>
    <x v="6"/>
  </r>
  <r>
    <x v="617"/>
    <x v="25"/>
    <x v="2"/>
    <x v="4"/>
    <n v="20"/>
    <n v="230"/>
    <n v="4600"/>
    <n v="0.09"/>
    <n v="414"/>
    <x v="7"/>
  </r>
  <r>
    <x v="618"/>
    <x v="25"/>
    <x v="2"/>
    <x v="2"/>
    <n v="12"/>
    <n v="230"/>
    <n v="2760"/>
    <n v="0.03"/>
    <n v="82.8"/>
    <x v="8"/>
  </r>
  <r>
    <x v="619"/>
    <x v="26"/>
    <x v="0"/>
    <x v="0"/>
    <n v="21"/>
    <n v="80"/>
    <n v="1680"/>
    <n v="0.04"/>
    <n v="67.2"/>
    <x v="9"/>
  </r>
  <r>
    <x v="620"/>
    <x v="26"/>
    <x v="1"/>
    <x v="1"/>
    <n v="15"/>
    <n v="40"/>
    <n v="600"/>
    <n v="0.04"/>
    <n v="24"/>
    <x v="6"/>
  </r>
  <r>
    <x v="621"/>
    <x v="26"/>
    <x v="0"/>
    <x v="3"/>
    <n v="16"/>
    <n v="80"/>
    <n v="1280"/>
    <n v="0.1"/>
    <n v="128"/>
    <x v="7"/>
  </r>
  <r>
    <x v="622"/>
    <x v="26"/>
    <x v="2"/>
    <x v="4"/>
    <n v="17"/>
    <n v="230"/>
    <n v="3910"/>
    <n v="0.11"/>
    <n v="430.1"/>
    <x v="8"/>
  </r>
  <r>
    <x v="623"/>
    <x v="26"/>
    <x v="2"/>
    <x v="4"/>
    <n v="5"/>
    <n v="230"/>
    <n v="1150"/>
    <n v="0.12"/>
    <n v="138"/>
    <x v="9"/>
  </r>
  <r>
    <x v="624"/>
    <x v="26"/>
    <x v="3"/>
    <x v="0"/>
    <n v="20"/>
    <n v="16"/>
    <n v="320"/>
    <n v="0.01"/>
    <n v="3.2"/>
    <x v="6"/>
  </r>
  <r>
    <x v="625"/>
    <x v="26"/>
    <x v="2"/>
    <x v="0"/>
    <n v="5"/>
    <n v="230"/>
    <n v="1150"/>
    <n v="0.1"/>
    <n v="115"/>
    <x v="7"/>
  </r>
  <r>
    <x v="626"/>
    <x v="26"/>
    <x v="1"/>
    <x v="1"/>
    <n v="8"/>
    <n v="40"/>
    <n v="320"/>
    <n v="0.09"/>
    <n v="28.799999999999997"/>
    <x v="8"/>
  </r>
  <r>
    <x v="627"/>
    <x v="26"/>
    <x v="3"/>
    <x v="0"/>
    <n v="7"/>
    <n v="16"/>
    <n v="112"/>
    <n v="0.02"/>
    <n v="2.2400000000000002"/>
    <x v="9"/>
  </r>
  <r>
    <x v="628"/>
    <x v="26"/>
    <x v="4"/>
    <x v="3"/>
    <n v="15"/>
    <n v="150"/>
    <n v="2250"/>
    <n v="0.08"/>
    <n v="180"/>
    <x v="6"/>
  </r>
  <r>
    <x v="629"/>
    <x v="26"/>
    <x v="2"/>
    <x v="4"/>
    <n v="20"/>
    <n v="230"/>
    <n v="4600"/>
    <n v="0.11"/>
    <n v="506"/>
    <x v="7"/>
  </r>
  <r>
    <x v="630"/>
    <x v="26"/>
    <x v="3"/>
    <x v="1"/>
    <n v="4"/>
    <n v="16"/>
    <n v="64"/>
    <n v="0.09"/>
    <n v="5.76"/>
    <x v="8"/>
  </r>
  <r>
    <x v="631"/>
    <x v="26"/>
    <x v="1"/>
    <x v="3"/>
    <n v="11"/>
    <n v="40"/>
    <n v="440"/>
    <n v="0.09"/>
    <n v="39.6"/>
    <x v="9"/>
  </r>
  <r>
    <x v="632"/>
    <x v="26"/>
    <x v="4"/>
    <x v="2"/>
    <n v="15"/>
    <n v="150"/>
    <n v="2250"/>
    <n v="0.05"/>
    <n v="112.5"/>
    <x v="6"/>
  </r>
  <r>
    <x v="633"/>
    <x v="26"/>
    <x v="2"/>
    <x v="2"/>
    <n v="5"/>
    <n v="230"/>
    <n v="1150"/>
    <n v="0.01"/>
    <n v="11.5"/>
    <x v="7"/>
  </r>
  <r>
    <x v="634"/>
    <x v="26"/>
    <x v="2"/>
    <x v="2"/>
    <n v="14"/>
    <n v="230"/>
    <n v="3220"/>
    <n v="0.03"/>
    <n v="96.6"/>
    <x v="8"/>
  </r>
  <r>
    <x v="635"/>
    <x v="26"/>
    <x v="1"/>
    <x v="4"/>
    <n v="23"/>
    <n v="40"/>
    <n v="920"/>
    <n v="0.05"/>
    <n v="46"/>
    <x v="9"/>
  </r>
  <r>
    <x v="636"/>
    <x v="26"/>
    <x v="0"/>
    <x v="3"/>
    <n v="22"/>
    <n v="80"/>
    <n v="1760"/>
    <n v="0.03"/>
    <n v="52.8"/>
    <x v="6"/>
  </r>
  <r>
    <x v="637"/>
    <x v="27"/>
    <x v="2"/>
    <x v="2"/>
    <n v="20"/>
    <n v="230"/>
    <n v="4600"/>
    <n v="0.06"/>
    <n v="276"/>
    <x v="7"/>
  </r>
  <r>
    <x v="638"/>
    <x v="27"/>
    <x v="2"/>
    <x v="1"/>
    <n v="15"/>
    <n v="230"/>
    <n v="3450"/>
    <n v="0.09"/>
    <n v="310.5"/>
    <x v="8"/>
  </r>
  <r>
    <x v="639"/>
    <x v="27"/>
    <x v="4"/>
    <x v="2"/>
    <n v="18"/>
    <n v="150"/>
    <n v="2700"/>
    <n v="0.06"/>
    <n v="162"/>
    <x v="9"/>
  </r>
  <r>
    <x v="640"/>
    <x v="27"/>
    <x v="2"/>
    <x v="0"/>
    <n v="3"/>
    <n v="230"/>
    <n v="690"/>
    <n v="0.11"/>
    <n v="75.900000000000006"/>
    <x v="6"/>
  </r>
  <r>
    <x v="641"/>
    <x v="27"/>
    <x v="4"/>
    <x v="4"/>
    <n v="11"/>
    <n v="150"/>
    <n v="1650"/>
    <n v="0.09"/>
    <n v="148.5"/>
    <x v="7"/>
  </r>
  <r>
    <x v="642"/>
    <x v="27"/>
    <x v="2"/>
    <x v="0"/>
    <n v="11"/>
    <n v="230"/>
    <n v="2530"/>
    <n v="0.02"/>
    <n v="50.6"/>
    <x v="8"/>
  </r>
  <r>
    <x v="643"/>
    <x v="27"/>
    <x v="2"/>
    <x v="4"/>
    <n v="13"/>
    <n v="230"/>
    <n v="2990"/>
    <n v="0.06"/>
    <n v="179.4"/>
    <x v="9"/>
  </r>
  <r>
    <x v="644"/>
    <x v="28"/>
    <x v="0"/>
    <x v="3"/>
    <n v="11"/>
    <n v="80"/>
    <n v="880"/>
    <n v="0.01"/>
    <n v="8.8000000000000007"/>
    <x v="6"/>
  </r>
  <r>
    <x v="645"/>
    <x v="28"/>
    <x v="0"/>
    <x v="4"/>
    <n v="17"/>
    <n v="80"/>
    <n v="1360"/>
    <n v="7.0000000000000007E-2"/>
    <n v="95.2"/>
    <x v="7"/>
  </r>
  <r>
    <x v="646"/>
    <x v="28"/>
    <x v="4"/>
    <x v="4"/>
    <n v="15"/>
    <n v="150"/>
    <n v="2250"/>
    <n v="7.0000000000000007E-2"/>
    <n v="157.50000000000003"/>
    <x v="8"/>
  </r>
  <r>
    <x v="647"/>
    <x v="28"/>
    <x v="3"/>
    <x v="4"/>
    <n v="14"/>
    <n v="16"/>
    <n v="224"/>
    <n v="0.06"/>
    <n v="13.44"/>
    <x v="9"/>
  </r>
  <r>
    <x v="648"/>
    <x v="28"/>
    <x v="3"/>
    <x v="1"/>
    <n v="4"/>
    <n v="16"/>
    <n v="64"/>
    <n v="7.0000000000000007E-2"/>
    <n v="4.4800000000000004"/>
    <x v="6"/>
  </r>
  <r>
    <x v="649"/>
    <x v="28"/>
    <x v="4"/>
    <x v="4"/>
    <n v="23"/>
    <n v="150"/>
    <n v="3450"/>
    <n v="0.08"/>
    <n v="276"/>
    <x v="7"/>
  </r>
  <r>
    <x v="650"/>
    <x v="28"/>
    <x v="0"/>
    <x v="2"/>
    <n v="10"/>
    <n v="80"/>
    <n v="800"/>
    <n v="0.11"/>
    <n v="88"/>
    <x v="8"/>
  </r>
  <r>
    <x v="651"/>
    <x v="28"/>
    <x v="2"/>
    <x v="2"/>
    <n v="7"/>
    <n v="230"/>
    <n v="1610"/>
    <n v="0.01"/>
    <n v="16.100000000000001"/>
    <x v="9"/>
  </r>
  <r>
    <x v="652"/>
    <x v="28"/>
    <x v="2"/>
    <x v="0"/>
    <n v="16"/>
    <n v="230"/>
    <n v="3680"/>
    <n v="7.0000000000000007E-2"/>
    <n v="257.60000000000002"/>
    <x v="6"/>
  </r>
  <r>
    <x v="653"/>
    <x v="28"/>
    <x v="3"/>
    <x v="4"/>
    <n v="17"/>
    <n v="16"/>
    <n v="272"/>
    <n v="0.08"/>
    <n v="21.76"/>
    <x v="7"/>
  </r>
  <r>
    <x v="654"/>
    <x v="29"/>
    <x v="0"/>
    <x v="4"/>
    <n v="6"/>
    <n v="80"/>
    <n v="480"/>
    <n v="0.09"/>
    <n v="43.199999999999996"/>
    <x v="8"/>
  </r>
  <r>
    <x v="655"/>
    <x v="29"/>
    <x v="4"/>
    <x v="2"/>
    <n v="22"/>
    <n v="150"/>
    <n v="3300"/>
    <n v="0.04"/>
    <n v="132"/>
    <x v="9"/>
  </r>
  <r>
    <x v="656"/>
    <x v="29"/>
    <x v="1"/>
    <x v="4"/>
    <n v="20"/>
    <n v="40"/>
    <n v="800"/>
    <n v="0.03"/>
    <n v="24"/>
    <x v="6"/>
  </r>
  <r>
    <x v="657"/>
    <x v="29"/>
    <x v="4"/>
    <x v="1"/>
    <n v="16"/>
    <n v="150"/>
    <n v="2400"/>
    <n v="0.08"/>
    <n v="192"/>
    <x v="7"/>
  </r>
  <r>
    <x v="658"/>
    <x v="29"/>
    <x v="0"/>
    <x v="1"/>
    <n v="5"/>
    <n v="80"/>
    <n v="400"/>
    <n v="7.0000000000000007E-2"/>
    <n v="28.000000000000004"/>
    <x v="8"/>
  </r>
  <r>
    <x v="659"/>
    <x v="29"/>
    <x v="4"/>
    <x v="3"/>
    <n v="6"/>
    <n v="150"/>
    <n v="900"/>
    <n v="0.03"/>
    <n v="27"/>
    <x v="9"/>
  </r>
  <r>
    <x v="660"/>
    <x v="30"/>
    <x v="0"/>
    <x v="1"/>
    <n v="9"/>
    <n v="80"/>
    <n v="720"/>
    <n v="0.03"/>
    <n v="21.599999999999998"/>
    <x v="6"/>
  </r>
  <r>
    <x v="661"/>
    <x v="30"/>
    <x v="0"/>
    <x v="0"/>
    <n v="8"/>
    <n v="80"/>
    <n v="640"/>
    <n v="0.08"/>
    <n v="51.2"/>
    <x v="7"/>
  </r>
  <r>
    <x v="662"/>
    <x v="30"/>
    <x v="2"/>
    <x v="3"/>
    <n v="8"/>
    <n v="230"/>
    <n v="1840"/>
    <n v="0.01"/>
    <n v="18.400000000000002"/>
    <x v="8"/>
  </r>
  <r>
    <x v="663"/>
    <x v="30"/>
    <x v="3"/>
    <x v="4"/>
    <n v="12"/>
    <n v="16"/>
    <n v="192"/>
    <n v="0.04"/>
    <n v="7.68"/>
    <x v="9"/>
  </r>
  <r>
    <x v="664"/>
    <x v="30"/>
    <x v="3"/>
    <x v="3"/>
    <n v="18"/>
    <n v="16"/>
    <n v="288"/>
    <n v="0.04"/>
    <n v="11.52"/>
    <x v="6"/>
  </r>
  <r>
    <x v="665"/>
    <x v="0"/>
    <x v="3"/>
    <x v="3"/>
    <n v="10"/>
    <n v="16"/>
    <n v="160"/>
    <n v="0.01"/>
    <n v="1.6"/>
    <x v="7"/>
  </r>
  <r>
    <x v="666"/>
    <x v="0"/>
    <x v="3"/>
    <x v="3"/>
    <n v="14"/>
    <n v="16"/>
    <n v="224"/>
    <n v="0.12"/>
    <n v="26.88"/>
    <x v="8"/>
  </r>
  <r>
    <x v="667"/>
    <x v="0"/>
    <x v="1"/>
    <x v="2"/>
    <n v="6"/>
    <n v="40"/>
    <n v="240"/>
    <n v="0.06"/>
    <n v="14.399999999999999"/>
    <x v="9"/>
  </r>
  <r>
    <x v="668"/>
    <x v="0"/>
    <x v="1"/>
    <x v="3"/>
    <n v="13"/>
    <n v="40"/>
    <n v="520"/>
    <n v="0.09"/>
    <n v="46.8"/>
    <x v="6"/>
  </r>
  <r>
    <x v="669"/>
    <x v="0"/>
    <x v="3"/>
    <x v="3"/>
    <n v="10"/>
    <n v="16"/>
    <n v="160"/>
    <n v="0.04"/>
    <n v="6.4"/>
    <x v="7"/>
  </r>
  <r>
    <x v="670"/>
    <x v="0"/>
    <x v="0"/>
    <x v="1"/>
    <n v="14"/>
    <n v="80"/>
    <n v="1120"/>
    <n v="0.11"/>
    <n v="123.2"/>
    <x v="8"/>
  </r>
  <r>
    <x v="671"/>
    <x v="0"/>
    <x v="1"/>
    <x v="1"/>
    <n v="4"/>
    <n v="40"/>
    <n v="160"/>
    <n v="0.06"/>
    <n v="9.6"/>
    <x v="9"/>
  </r>
  <r>
    <x v="672"/>
    <x v="0"/>
    <x v="1"/>
    <x v="2"/>
    <n v="11"/>
    <n v="40"/>
    <n v="440"/>
    <n v="0.05"/>
    <n v="22"/>
    <x v="6"/>
  </r>
  <r>
    <x v="673"/>
    <x v="0"/>
    <x v="3"/>
    <x v="2"/>
    <n v="14"/>
    <n v="16"/>
    <n v="224"/>
    <n v="0.01"/>
    <n v="2.2400000000000002"/>
    <x v="7"/>
  </r>
  <r>
    <x v="674"/>
    <x v="0"/>
    <x v="4"/>
    <x v="0"/>
    <n v="20"/>
    <n v="150"/>
    <n v="3000"/>
    <n v="0.04"/>
    <n v="120"/>
    <x v="8"/>
  </r>
  <r>
    <x v="675"/>
    <x v="0"/>
    <x v="1"/>
    <x v="3"/>
    <n v="9"/>
    <n v="40"/>
    <n v="360"/>
    <n v="0.06"/>
    <n v="21.599999999999998"/>
    <x v="9"/>
  </r>
  <r>
    <x v="676"/>
    <x v="0"/>
    <x v="4"/>
    <x v="2"/>
    <n v="18"/>
    <n v="150"/>
    <n v="2700"/>
    <n v="0.06"/>
    <n v="162"/>
    <x v="6"/>
  </r>
  <r>
    <x v="677"/>
    <x v="0"/>
    <x v="2"/>
    <x v="4"/>
    <n v="17"/>
    <n v="230"/>
    <n v="3910"/>
    <n v="0.11"/>
    <n v="430.1"/>
    <x v="7"/>
  </r>
  <r>
    <x v="678"/>
    <x v="1"/>
    <x v="1"/>
    <x v="0"/>
    <n v="20"/>
    <n v="40"/>
    <n v="800"/>
    <n v="0.04"/>
    <n v="32"/>
    <x v="8"/>
  </r>
  <r>
    <x v="679"/>
    <x v="1"/>
    <x v="1"/>
    <x v="0"/>
    <n v="23"/>
    <n v="40"/>
    <n v="920"/>
    <n v="0.03"/>
    <n v="27.599999999999998"/>
    <x v="9"/>
  </r>
  <r>
    <x v="680"/>
    <x v="1"/>
    <x v="2"/>
    <x v="4"/>
    <n v="21"/>
    <n v="230"/>
    <n v="4830"/>
    <n v="0.05"/>
    <n v="241.5"/>
    <x v="6"/>
  </r>
  <r>
    <x v="681"/>
    <x v="1"/>
    <x v="0"/>
    <x v="2"/>
    <n v="6"/>
    <n v="80"/>
    <n v="480"/>
    <n v="0.09"/>
    <n v="43.199999999999996"/>
    <x v="7"/>
  </r>
  <r>
    <x v="682"/>
    <x v="1"/>
    <x v="3"/>
    <x v="0"/>
    <n v="20"/>
    <n v="16"/>
    <n v="320"/>
    <n v="0.01"/>
    <n v="3.2"/>
    <x v="8"/>
  </r>
  <r>
    <x v="683"/>
    <x v="1"/>
    <x v="1"/>
    <x v="1"/>
    <n v="8"/>
    <n v="40"/>
    <n v="320"/>
    <n v="0.09"/>
    <n v="28.799999999999997"/>
    <x v="9"/>
  </r>
  <r>
    <x v="684"/>
    <x v="1"/>
    <x v="2"/>
    <x v="1"/>
    <n v="15"/>
    <n v="230"/>
    <n v="3450"/>
    <n v="0.09"/>
    <n v="310.5"/>
    <x v="6"/>
  </r>
  <r>
    <x v="685"/>
    <x v="2"/>
    <x v="0"/>
    <x v="3"/>
    <n v="21"/>
    <n v="80"/>
    <n v="1680"/>
    <n v="0.02"/>
    <n v="33.6"/>
    <x v="7"/>
  </r>
  <r>
    <x v="686"/>
    <x v="2"/>
    <x v="0"/>
    <x v="3"/>
    <n v="19"/>
    <n v="80"/>
    <n v="1520"/>
    <n v="0.02"/>
    <n v="30.400000000000002"/>
    <x v="8"/>
  </r>
  <r>
    <x v="687"/>
    <x v="2"/>
    <x v="3"/>
    <x v="0"/>
    <n v="7"/>
    <n v="16"/>
    <n v="112"/>
    <n v="0.08"/>
    <n v="8.9600000000000009"/>
    <x v="9"/>
  </r>
  <r>
    <x v="688"/>
    <x v="2"/>
    <x v="1"/>
    <x v="4"/>
    <n v="11"/>
    <n v="40"/>
    <n v="440"/>
    <n v="0.05"/>
    <n v="22"/>
    <x v="6"/>
  </r>
  <r>
    <x v="689"/>
    <x v="2"/>
    <x v="2"/>
    <x v="3"/>
    <n v="8"/>
    <n v="230"/>
    <n v="1840"/>
    <n v="0.05"/>
    <n v="92"/>
    <x v="7"/>
  </r>
  <r>
    <x v="690"/>
    <x v="2"/>
    <x v="0"/>
    <x v="0"/>
    <n v="18"/>
    <n v="80"/>
    <n v="1440"/>
    <n v="0.02"/>
    <n v="28.8"/>
    <x v="8"/>
  </r>
  <r>
    <x v="691"/>
    <x v="2"/>
    <x v="1"/>
    <x v="0"/>
    <n v="7"/>
    <n v="40"/>
    <n v="280"/>
    <n v="0.1"/>
    <n v="28"/>
    <x v="9"/>
  </r>
  <r>
    <x v="692"/>
    <x v="3"/>
    <x v="3"/>
    <x v="0"/>
    <n v="16"/>
    <n v="16"/>
    <n v="256"/>
    <n v="0.03"/>
    <n v="7.68"/>
    <x v="6"/>
  </r>
  <r>
    <x v="693"/>
    <x v="3"/>
    <x v="0"/>
    <x v="0"/>
    <n v="8"/>
    <n v="80"/>
    <n v="640"/>
    <n v="0.08"/>
    <n v="51.2"/>
    <x v="7"/>
  </r>
  <r>
    <x v="694"/>
    <x v="3"/>
    <x v="2"/>
    <x v="4"/>
    <n v="22"/>
    <n v="230"/>
    <n v="5060"/>
    <n v="0.1"/>
    <n v="506"/>
    <x v="8"/>
  </r>
  <r>
    <x v="695"/>
    <x v="3"/>
    <x v="2"/>
    <x v="4"/>
    <n v="3"/>
    <n v="230"/>
    <n v="690"/>
    <n v="0.1"/>
    <n v="69"/>
    <x v="9"/>
  </r>
  <r>
    <x v="696"/>
    <x v="3"/>
    <x v="2"/>
    <x v="4"/>
    <n v="20"/>
    <n v="230"/>
    <n v="4600"/>
    <n v="0.11"/>
    <n v="506"/>
    <x v="6"/>
  </r>
  <r>
    <x v="697"/>
    <x v="3"/>
    <x v="3"/>
    <x v="2"/>
    <n v="12"/>
    <n v="16"/>
    <n v="192"/>
    <n v="0.03"/>
    <n v="5.76"/>
    <x v="7"/>
  </r>
  <r>
    <x v="698"/>
    <x v="3"/>
    <x v="1"/>
    <x v="4"/>
    <n v="20"/>
    <n v="40"/>
    <n v="800"/>
    <n v="7.0000000000000007E-2"/>
    <n v="56.000000000000007"/>
    <x v="8"/>
  </r>
  <r>
    <x v="699"/>
    <x v="3"/>
    <x v="2"/>
    <x v="0"/>
    <n v="3"/>
    <n v="230"/>
    <n v="690"/>
    <n v="0.06"/>
    <n v="41.4"/>
    <x v="9"/>
  </r>
  <r>
    <x v="700"/>
    <x v="3"/>
    <x v="0"/>
    <x v="3"/>
    <n v="16"/>
    <n v="80"/>
    <n v="1280"/>
    <n v="7.0000000000000007E-2"/>
    <n v="89.600000000000009"/>
    <x v="6"/>
  </r>
  <r>
    <x v="701"/>
    <x v="4"/>
    <x v="1"/>
    <x v="4"/>
    <n v="3"/>
    <n v="40"/>
    <n v="120"/>
    <n v="0.03"/>
    <n v="3.5999999999999996"/>
    <x v="7"/>
  </r>
  <r>
    <x v="702"/>
    <x v="4"/>
    <x v="2"/>
    <x v="2"/>
    <n v="12"/>
    <n v="230"/>
    <n v="2760"/>
    <n v="0.03"/>
    <n v="82.8"/>
    <x v="8"/>
  </r>
  <r>
    <x v="703"/>
    <x v="4"/>
    <x v="1"/>
    <x v="3"/>
    <n v="22"/>
    <n v="40"/>
    <n v="880"/>
    <n v="0.01"/>
    <n v="8.8000000000000007"/>
    <x v="9"/>
  </r>
  <r>
    <x v="704"/>
    <x v="4"/>
    <x v="1"/>
    <x v="1"/>
    <n v="19"/>
    <n v="40"/>
    <n v="760"/>
    <n v="0.1"/>
    <n v="76"/>
    <x v="6"/>
  </r>
  <r>
    <x v="705"/>
    <x v="4"/>
    <x v="0"/>
    <x v="1"/>
    <n v="21"/>
    <n v="80"/>
    <n v="1680"/>
    <n v="0.04"/>
    <n v="67.2"/>
    <x v="7"/>
  </r>
  <r>
    <x v="706"/>
    <x v="4"/>
    <x v="0"/>
    <x v="1"/>
    <n v="2"/>
    <n v="80"/>
    <n v="160"/>
    <n v="0.04"/>
    <n v="6.4"/>
    <x v="8"/>
  </r>
  <r>
    <x v="707"/>
    <x v="4"/>
    <x v="4"/>
    <x v="1"/>
    <n v="15"/>
    <n v="150"/>
    <n v="2250"/>
    <n v="0.02"/>
    <n v="45"/>
    <x v="9"/>
  </r>
  <r>
    <x v="708"/>
    <x v="5"/>
    <x v="1"/>
    <x v="1"/>
    <n v="14"/>
    <n v="40"/>
    <n v="560"/>
    <n v="0.06"/>
    <n v="33.6"/>
    <x v="6"/>
  </r>
  <r>
    <x v="709"/>
    <x v="5"/>
    <x v="0"/>
    <x v="3"/>
    <n v="7"/>
    <n v="80"/>
    <n v="560"/>
    <n v="7.0000000000000007E-2"/>
    <n v="39.200000000000003"/>
    <x v="7"/>
  </r>
  <r>
    <x v="710"/>
    <x v="5"/>
    <x v="0"/>
    <x v="2"/>
    <n v="7"/>
    <n v="80"/>
    <n v="560"/>
    <n v="0.05"/>
    <n v="28"/>
    <x v="8"/>
  </r>
  <r>
    <x v="711"/>
    <x v="5"/>
    <x v="4"/>
    <x v="1"/>
    <n v="10"/>
    <n v="150"/>
    <n v="1500"/>
    <n v="0.01"/>
    <n v="15"/>
    <x v="9"/>
  </r>
  <r>
    <x v="712"/>
    <x v="5"/>
    <x v="0"/>
    <x v="2"/>
    <n v="10"/>
    <n v="80"/>
    <n v="800"/>
    <n v="0.08"/>
    <n v="64"/>
    <x v="6"/>
  </r>
  <r>
    <x v="713"/>
    <x v="5"/>
    <x v="0"/>
    <x v="3"/>
    <n v="15"/>
    <n v="80"/>
    <n v="1200"/>
    <n v="0.08"/>
    <n v="96"/>
    <x v="7"/>
  </r>
  <r>
    <x v="714"/>
    <x v="5"/>
    <x v="2"/>
    <x v="3"/>
    <n v="18"/>
    <n v="230"/>
    <n v="4140"/>
    <n v="0.01"/>
    <n v="41.4"/>
    <x v="8"/>
  </r>
  <r>
    <x v="715"/>
    <x v="5"/>
    <x v="0"/>
    <x v="0"/>
    <n v="8"/>
    <n v="80"/>
    <n v="640"/>
    <n v="0.09"/>
    <n v="57.599999999999994"/>
    <x v="9"/>
  </r>
  <r>
    <x v="716"/>
    <x v="5"/>
    <x v="3"/>
    <x v="2"/>
    <n v="6"/>
    <n v="16"/>
    <n v="96"/>
    <n v="0.01"/>
    <n v="0.96"/>
    <x v="6"/>
  </r>
  <r>
    <x v="717"/>
    <x v="5"/>
    <x v="2"/>
    <x v="1"/>
    <n v="9"/>
    <n v="230"/>
    <n v="2070"/>
    <n v="0.03"/>
    <n v="62.099999999999994"/>
    <x v="7"/>
  </r>
  <r>
    <x v="718"/>
    <x v="6"/>
    <x v="1"/>
    <x v="3"/>
    <n v="15"/>
    <n v="40"/>
    <n v="600"/>
    <n v="0.03"/>
    <n v="18"/>
    <x v="8"/>
  </r>
  <r>
    <x v="719"/>
    <x v="6"/>
    <x v="1"/>
    <x v="1"/>
    <n v="15"/>
    <n v="40"/>
    <n v="600"/>
    <n v="0.04"/>
    <n v="24"/>
    <x v="9"/>
  </r>
  <r>
    <x v="720"/>
    <x v="6"/>
    <x v="3"/>
    <x v="4"/>
    <n v="11"/>
    <n v="16"/>
    <n v="176"/>
    <n v="0.12"/>
    <n v="21.119999999999997"/>
    <x v="6"/>
  </r>
  <r>
    <x v="721"/>
    <x v="6"/>
    <x v="3"/>
    <x v="0"/>
    <n v="12"/>
    <n v="16"/>
    <n v="192"/>
    <n v="0.11"/>
    <n v="21.12"/>
    <x v="2"/>
  </r>
  <r>
    <x v="722"/>
    <x v="6"/>
    <x v="3"/>
    <x v="3"/>
    <n v="18"/>
    <n v="16"/>
    <n v="288"/>
    <n v="0.04"/>
    <n v="11.52"/>
    <x v="8"/>
  </r>
  <r>
    <x v="723"/>
    <x v="6"/>
    <x v="1"/>
    <x v="2"/>
    <n v="20"/>
    <n v="40"/>
    <n v="800"/>
    <n v="0.01"/>
    <n v="8"/>
    <x v="2"/>
  </r>
  <r>
    <x v="724"/>
    <x v="6"/>
    <x v="4"/>
    <x v="4"/>
    <n v="7"/>
    <n v="150"/>
    <n v="1050"/>
    <n v="0.03"/>
    <n v="31.5"/>
    <x v="8"/>
  </r>
  <r>
    <x v="725"/>
    <x v="6"/>
    <x v="1"/>
    <x v="3"/>
    <n v="23"/>
    <n v="40"/>
    <n v="920"/>
    <n v="0.06"/>
    <n v="55.199999999999996"/>
    <x v="2"/>
  </r>
  <r>
    <x v="726"/>
    <x v="6"/>
    <x v="0"/>
    <x v="0"/>
    <n v="7"/>
    <n v="80"/>
    <n v="560"/>
    <n v="0.02"/>
    <n v="11.200000000000001"/>
    <x v="8"/>
  </r>
  <r>
    <x v="727"/>
    <x v="6"/>
    <x v="4"/>
    <x v="1"/>
    <n v="16"/>
    <n v="150"/>
    <n v="2400"/>
    <n v="0.05"/>
    <n v="120"/>
    <x v="2"/>
  </r>
  <r>
    <x v="728"/>
    <x v="6"/>
    <x v="2"/>
    <x v="1"/>
    <n v="6"/>
    <n v="230"/>
    <n v="1380"/>
    <n v="0.1"/>
    <n v="138"/>
    <x v="8"/>
  </r>
  <r>
    <x v="729"/>
    <x v="7"/>
    <x v="1"/>
    <x v="4"/>
    <n v="7"/>
    <n v="40"/>
    <n v="280"/>
    <n v="0.12"/>
    <n v="33.6"/>
    <x v="2"/>
  </r>
  <r>
    <x v="730"/>
    <x v="7"/>
    <x v="0"/>
    <x v="2"/>
    <n v="23"/>
    <n v="80"/>
    <n v="1840"/>
    <n v="0.05"/>
    <n v="92"/>
    <x v="8"/>
  </r>
  <r>
    <x v="731"/>
    <x v="7"/>
    <x v="0"/>
    <x v="3"/>
    <n v="16"/>
    <n v="80"/>
    <n v="1280"/>
    <n v="0.1"/>
    <n v="128"/>
    <x v="2"/>
  </r>
  <r>
    <x v="732"/>
    <x v="7"/>
    <x v="0"/>
    <x v="0"/>
    <n v="16"/>
    <n v="80"/>
    <n v="1280"/>
    <n v="0.03"/>
    <n v="38.4"/>
    <x v="8"/>
  </r>
  <r>
    <x v="733"/>
    <x v="7"/>
    <x v="0"/>
    <x v="4"/>
    <n v="22"/>
    <n v="80"/>
    <n v="1760"/>
    <n v="0.09"/>
    <n v="158.4"/>
    <x v="2"/>
  </r>
  <r>
    <x v="734"/>
    <x v="7"/>
    <x v="3"/>
    <x v="0"/>
    <n v="18"/>
    <n v="16"/>
    <n v="288"/>
    <n v="0.05"/>
    <n v="14.4"/>
    <x v="8"/>
  </r>
  <r>
    <x v="735"/>
    <x v="7"/>
    <x v="2"/>
    <x v="4"/>
    <n v="5"/>
    <n v="230"/>
    <n v="1150"/>
    <n v="0.12"/>
    <n v="138"/>
    <x v="2"/>
  </r>
  <r>
    <x v="736"/>
    <x v="7"/>
    <x v="4"/>
    <x v="4"/>
    <n v="7"/>
    <n v="150"/>
    <n v="1050"/>
    <n v="0.02"/>
    <n v="21"/>
    <x v="8"/>
  </r>
  <r>
    <x v="737"/>
    <x v="7"/>
    <x v="1"/>
    <x v="2"/>
    <n v="2"/>
    <n v="40"/>
    <n v="80"/>
    <n v="0.03"/>
    <n v="2.4"/>
    <x v="2"/>
  </r>
  <r>
    <x v="738"/>
    <x v="7"/>
    <x v="1"/>
    <x v="3"/>
    <n v="11"/>
    <n v="40"/>
    <n v="440"/>
    <n v="0.06"/>
    <n v="26.4"/>
    <x v="8"/>
  </r>
  <r>
    <x v="739"/>
    <x v="7"/>
    <x v="0"/>
    <x v="3"/>
    <n v="7"/>
    <n v="80"/>
    <n v="560"/>
    <n v="0.02"/>
    <n v="11.200000000000001"/>
    <x v="2"/>
  </r>
  <r>
    <x v="740"/>
    <x v="8"/>
    <x v="1"/>
    <x v="2"/>
    <n v="4"/>
    <n v="40"/>
    <n v="160"/>
    <n v="0.11"/>
    <n v="17.600000000000001"/>
    <x v="8"/>
  </r>
  <r>
    <x v="741"/>
    <x v="8"/>
    <x v="1"/>
    <x v="2"/>
    <n v="2"/>
    <n v="40"/>
    <n v="80"/>
    <n v="0.02"/>
    <n v="1.6"/>
    <x v="2"/>
  </r>
  <r>
    <x v="742"/>
    <x v="8"/>
    <x v="2"/>
    <x v="3"/>
    <n v="23"/>
    <n v="230"/>
    <n v="5290"/>
    <n v="0.06"/>
    <n v="317.39999999999998"/>
    <x v="8"/>
  </r>
  <r>
    <x v="743"/>
    <x v="8"/>
    <x v="0"/>
    <x v="4"/>
    <n v="21"/>
    <n v="80"/>
    <n v="1680"/>
    <n v="0.09"/>
    <n v="151.19999999999999"/>
    <x v="2"/>
  </r>
  <r>
    <x v="744"/>
    <x v="8"/>
    <x v="0"/>
    <x v="4"/>
    <n v="9"/>
    <n v="80"/>
    <n v="720"/>
    <n v="0.06"/>
    <n v="43.199999999999996"/>
    <x v="8"/>
  </r>
  <r>
    <x v="745"/>
    <x v="8"/>
    <x v="0"/>
    <x v="4"/>
    <n v="22"/>
    <n v="80"/>
    <n v="1760"/>
    <n v="0.11"/>
    <n v="193.6"/>
    <x v="2"/>
  </r>
  <r>
    <x v="746"/>
    <x v="9"/>
    <x v="2"/>
    <x v="2"/>
    <n v="15"/>
    <n v="230"/>
    <n v="3450"/>
    <n v="0.11"/>
    <n v="379.5"/>
    <x v="8"/>
  </r>
  <r>
    <x v="747"/>
    <x v="9"/>
    <x v="1"/>
    <x v="1"/>
    <n v="7"/>
    <n v="40"/>
    <n v="280"/>
    <n v="0.01"/>
    <n v="2.8000000000000003"/>
    <x v="2"/>
  </r>
  <r>
    <x v="748"/>
    <x v="9"/>
    <x v="4"/>
    <x v="4"/>
    <n v="17"/>
    <n v="150"/>
    <n v="2550"/>
    <n v="0.02"/>
    <n v="51"/>
    <x v="8"/>
  </r>
  <r>
    <x v="749"/>
    <x v="9"/>
    <x v="4"/>
    <x v="1"/>
    <n v="22"/>
    <n v="150"/>
    <n v="3300"/>
    <n v="0.02"/>
    <n v="66"/>
    <x v="2"/>
  </r>
  <r>
    <x v="750"/>
    <x v="9"/>
    <x v="2"/>
    <x v="2"/>
    <n v="10"/>
    <n v="230"/>
    <n v="2300"/>
    <n v="0.02"/>
    <n v="46"/>
    <x v="8"/>
  </r>
  <r>
    <x v="751"/>
    <x v="9"/>
    <x v="1"/>
    <x v="4"/>
    <n v="21"/>
    <n v="40"/>
    <n v="840"/>
    <n v="0.01"/>
    <n v="8.4"/>
    <x v="2"/>
  </r>
  <r>
    <x v="752"/>
    <x v="9"/>
    <x v="2"/>
    <x v="2"/>
    <n v="5"/>
    <n v="230"/>
    <n v="1150"/>
    <n v="0.1"/>
    <n v="115"/>
    <x v="8"/>
  </r>
  <r>
    <x v="753"/>
    <x v="9"/>
    <x v="2"/>
    <x v="4"/>
    <n v="13"/>
    <n v="230"/>
    <n v="2990"/>
    <n v="0.06"/>
    <n v="179.4"/>
    <x v="2"/>
  </r>
  <r>
    <x v="754"/>
    <x v="9"/>
    <x v="4"/>
    <x v="0"/>
    <n v="23"/>
    <n v="150"/>
    <n v="3450"/>
    <n v="0.1"/>
    <n v="345"/>
    <x v="8"/>
  </r>
  <r>
    <x v="755"/>
    <x v="9"/>
    <x v="4"/>
    <x v="0"/>
    <n v="20"/>
    <n v="150"/>
    <n v="3000"/>
    <n v="0.03"/>
    <n v="90"/>
    <x v="2"/>
  </r>
  <r>
    <x v="756"/>
    <x v="10"/>
    <x v="2"/>
    <x v="0"/>
    <n v="3"/>
    <n v="230"/>
    <n v="690"/>
    <n v="0.11"/>
    <n v="75.900000000000006"/>
    <x v="8"/>
  </r>
  <r>
    <x v="757"/>
    <x v="10"/>
    <x v="4"/>
    <x v="1"/>
    <n v="16"/>
    <n v="150"/>
    <n v="2400"/>
    <n v="0.08"/>
    <n v="192"/>
    <x v="2"/>
  </r>
  <r>
    <x v="758"/>
    <x v="10"/>
    <x v="3"/>
    <x v="4"/>
    <n v="14"/>
    <n v="16"/>
    <n v="224"/>
    <n v="0.06"/>
    <n v="13.44"/>
    <x v="8"/>
  </r>
  <r>
    <x v="759"/>
    <x v="10"/>
    <x v="4"/>
    <x v="1"/>
    <n v="16"/>
    <n v="150"/>
    <n v="2400"/>
    <n v="0.03"/>
    <n v="72"/>
    <x v="2"/>
  </r>
  <r>
    <x v="760"/>
    <x v="10"/>
    <x v="3"/>
    <x v="4"/>
    <n v="19"/>
    <n v="16"/>
    <n v="304"/>
    <n v="0.02"/>
    <n v="6.08"/>
    <x v="8"/>
  </r>
  <r>
    <x v="761"/>
    <x v="10"/>
    <x v="0"/>
    <x v="4"/>
    <n v="6"/>
    <n v="80"/>
    <n v="480"/>
    <n v="0.09"/>
    <n v="43.199999999999996"/>
    <x v="2"/>
  </r>
  <r>
    <x v="762"/>
    <x v="10"/>
    <x v="0"/>
    <x v="4"/>
    <n v="9"/>
    <n v="80"/>
    <n v="720"/>
    <n v="7.0000000000000007E-2"/>
    <n v="50.400000000000006"/>
    <x v="8"/>
  </r>
  <r>
    <x v="763"/>
    <x v="10"/>
    <x v="4"/>
    <x v="1"/>
    <n v="20"/>
    <n v="150"/>
    <n v="3000"/>
    <n v="0.09"/>
    <n v="270"/>
    <x v="2"/>
  </r>
  <r>
    <x v="764"/>
    <x v="10"/>
    <x v="0"/>
    <x v="2"/>
    <n v="10"/>
    <n v="80"/>
    <n v="800"/>
    <n v="0.11"/>
    <n v="88"/>
    <x v="8"/>
  </r>
  <r>
    <x v="765"/>
    <x v="10"/>
    <x v="3"/>
    <x v="0"/>
    <n v="4"/>
    <n v="16"/>
    <n v="64"/>
    <n v="0.12"/>
    <n v="7.68"/>
    <x v="2"/>
  </r>
  <r>
    <x v="766"/>
    <x v="10"/>
    <x v="1"/>
    <x v="4"/>
    <n v="16"/>
    <n v="40"/>
    <n v="640"/>
    <n v="0.11"/>
    <n v="70.400000000000006"/>
    <x v="8"/>
  </r>
  <r>
    <x v="767"/>
    <x v="11"/>
    <x v="0"/>
    <x v="1"/>
    <n v="5"/>
    <n v="80"/>
    <n v="400"/>
    <n v="0.04"/>
    <n v="16"/>
    <x v="2"/>
  </r>
  <r>
    <x v="768"/>
    <x v="11"/>
    <x v="3"/>
    <x v="2"/>
    <n v="11"/>
    <n v="16"/>
    <n v="176"/>
    <n v="0.04"/>
    <n v="7.04"/>
    <x v="8"/>
  </r>
  <r>
    <x v="769"/>
    <x v="11"/>
    <x v="4"/>
    <x v="0"/>
    <n v="17"/>
    <n v="150"/>
    <n v="2550"/>
    <n v="0.12"/>
    <n v="306"/>
    <x v="2"/>
  </r>
  <r>
    <x v="770"/>
    <x v="11"/>
    <x v="2"/>
    <x v="1"/>
    <n v="19"/>
    <n v="230"/>
    <n v="4370"/>
    <n v="0.11"/>
    <n v="480.7"/>
    <x v="8"/>
  </r>
  <r>
    <x v="771"/>
    <x v="11"/>
    <x v="0"/>
    <x v="0"/>
    <n v="21"/>
    <n v="80"/>
    <n v="1680"/>
    <n v="0.04"/>
    <n v="67.2"/>
    <x v="2"/>
  </r>
  <r>
    <x v="772"/>
    <x v="11"/>
    <x v="2"/>
    <x v="1"/>
    <n v="7"/>
    <n v="230"/>
    <n v="1610"/>
    <n v="0.01"/>
    <n v="16.100000000000001"/>
    <x v="8"/>
  </r>
  <r>
    <x v="773"/>
    <x v="11"/>
    <x v="1"/>
    <x v="2"/>
    <n v="2"/>
    <n v="40"/>
    <n v="80"/>
    <n v="0.03"/>
    <n v="2.4"/>
    <x v="2"/>
  </r>
  <r>
    <x v="774"/>
    <x v="11"/>
    <x v="4"/>
    <x v="0"/>
    <n v="7"/>
    <n v="150"/>
    <n v="1050"/>
    <n v="0.02"/>
    <n v="21"/>
    <x v="8"/>
  </r>
  <r>
    <x v="775"/>
    <x v="12"/>
    <x v="0"/>
    <x v="2"/>
    <n v="16"/>
    <n v="80"/>
    <n v="1280"/>
    <n v="0.04"/>
    <n v="51.2"/>
    <x v="2"/>
  </r>
  <r>
    <x v="776"/>
    <x v="12"/>
    <x v="1"/>
    <x v="1"/>
    <n v="4"/>
    <n v="40"/>
    <n v="160"/>
    <n v="0.12"/>
    <n v="19.2"/>
    <x v="8"/>
  </r>
  <r>
    <x v="777"/>
    <x v="12"/>
    <x v="3"/>
    <x v="0"/>
    <n v="22"/>
    <n v="16"/>
    <n v="352"/>
    <n v="0.01"/>
    <n v="3.52"/>
    <x v="2"/>
  </r>
  <r>
    <x v="778"/>
    <x v="12"/>
    <x v="1"/>
    <x v="3"/>
    <n v="18"/>
    <n v="40"/>
    <n v="720"/>
    <n v="0.06"/>
    <n v="43.199999999999996"/>
    <x v="8"/>
  </r>
  <r>
    <x v="779"/>
    <x v="12"/>
    <x v="0"/>
    <x v="2"/>
    <n v="6"/>
    <n v="80"/>
    <n v="480"/>
    <n v="0.01"/>
    <n v="4.8"/>
    <x v="2"/>
  </r>
  <r>
    <x v="780"/>
    <x v="12"/>
    <x v="2"/>
    <x v="2"/>
    <n v="2"/>
    <n v="230"/>
    <n v="460"/>
    <n v="0.09"/>
    <n v="41.4"/>
    <x v="8"/>
  </r>
  <r>
    <x v="781"/>
    <x v="13"/>
    <x v="4"/>
    <x v="4"/>
    <n v="11"/>
    <n v="150"/>
    <n v="1650"/>
    <n v="0.09"/>
    <n v="148.5"/>
    <x v="2"/>
  </r>
  <r>
    <x v="782"/>
    <x v="13"/>
    <x v="4"/>
    <x v="3"/>
    <n v="15"/>
    <n v="150"/>
    <n v="2250"/>
    <n v="0.08"/>
    <n v="180"/>
    <x v="8"/>
  </r>
  <r>
    <x v="783"/>
    <x v="13"/>
    <x v="0"/>
    <x v="0"/>
    <n v="17"/>
    <n v="80"/>
    <n v="1360"/>
    <n v="0.09"/>
    <n v="122.39999999999999"/>
    <x v="2"/>
  </r>
  <r>
    <x v="784"/>
    <x v="13"/>
    <x v="4"/>
    <x v="4"/>
    <n v="13"/>
    <n v="150"/>
    <n v="1950"/>
    <n v="0.11"/>
    <n v="214.5"/>
    <x v="8"/>
  </r>
  <r>
    <x v="785"/>
    <x v="13"/>
    <x v="1"/>
    <x v="3"/>
    <n v="7"/>
    <n v="40"/>
    <n v="280"/>
    <n v="7.0000000000000007E-2"/>
    <n v="19.600000000000001"/>
    <x v="2"/>
  </r>
  <r>
    <x v="786"/>
    <x v="13"/>
    <x v="2"/>
    <x v="3"/>
    <n v="3"/>
    <n v="230"/>
    <n v="690"/>
    <n v="0.01"/>
    <n v="6.9"/>
    <x v="8"/>
  </r>
  <r>
    <x v="787"/>
    <x v="13"/>
    <x v="1"/>
    <x v="2"/>
    <n v="12"/>
    <n v="40"/>
    <n v="480"/>
    <n v="0.02"/>
    <n v="9.6"/>
    <x v="2"/>
  </r>
  <r>
    <x v="788"/>
    <x v="13"/>
    <x v="4"/>
    <x v="2"/>
    <n v="11"/>
    <n v="150"/>
    <n v="1650"/>
    <n v="0.11"/>
    <n v="181.5"/>
    <x v="8"/>
  </r>
  <r>
    <x v="789"/>
    <x v="13"/>
    <x v="1"/>
    <x v="1"/>
    <n v="21"/>
    <n v="40"/>
    <n v="840"/>
    <n v="0.03"/>
    <n v="25.2"/>
    <x v="2"/>
  </r>
  <r>
    <x v="790"/>
    <x v="13"/>
    <x v="4"/>
    <x v="0"/>
    <n v="22"/>
    <n v="150"/>
    <n v="3300"/>
    <n v="7.0000000000000007E-2"/>
    <n v="231.00000000000003"/>
    <x v="8"/>
  </r>
  <r>
    <x v="791"/>
    <x v="13"/>
    <x v="1"/>
    <x v="2"/>
    <n v="20"/>
    <n v="40"/>
    <n v="800"/>
    <n v="0.01"/>
    <n v="8"/>
    <x v="2"/>
  </r>
  <r>
    <x v="792"/>
    <x v="14"/>
    <x v="3"/>
    <x v="4"/>
    <n v="22"/>
    <n v="16"/>
    <n v="352"/>
    <n v="0.12"/>
    <n v="42.239999999999995"/>
    <x v="8"/>
  </r>
  <r>
    <x v="793"/>
    <x v="14"/>
    <x v="1"/>
    <x v="2"/>
    <n v="4"/>
    <n v="40"/>
    <n v="160"/>
    <n v="0.1"/>
    <n v="16"/>
    <x v="2"/>
  </r>
  <r>
    <x v="794"/>
    <x v="14"/>
    <x v="2"/>
    <x v="3"/>
    <n v="2"/>
    <n v="230"/>
    <n v="460"/>
    <n v="0.09"/>
    <n v="41.4"/>
    <x v="8"/>
  </r>
  <r>
    <x v="795"/>
    <x v="14"/>
    <x v="1"/>
    <x v="0"/>
    <n v="22"/>
    <n v="40"/>
    <n v="880"/>
    <n v="0.02"/>
    <n v="17.600000000000001"/>
    <x v="2"/>
  </r>
  <r>
    <x v="796"/>
    <x v="14"/>
    <x v="1"/>
    <x v="1"/>
    <n v="4"/>
    <n v="40"/>
    <n v="160"/>
    <n v="0.03"/>
    <n v="4.8"/>
    <x v="8"/>
  </r>
  <r>
    <x v="797"/>
    <x v="14"/>
    <x v="3"/>
    <x v="1"/>
    <n v="5"/>
    <n v="16"/>
    <n v="80"/>
    <n v="0.11"/>
    <n v="8.8000000000000007"/>
    <x v="2"/>
  </r>
  <r>
    <x v="798"/>
    <x v="14"/>
    <x v="0"/>
    <x v="3"/>
    <n v="2"/>
    <n v="80"/>
    <n v="160"/>
    <n v="0.08"/>
    <n v="12.8"/>
    <x v="8"/>
  </r>
  <r>
    <x v="799"/>
    <x v="14"/>
    <x v="3"/>
    <x v="2"/>
    <n v="9"/>
    <n v="16"/>
    <n v="144"/>
    <n v="0.05"/>
    <n v="7.2"/>
    <x v="2"/>
  </r>
  <r>
    <x v="800"/>
    <x v="14"/>
    <x v="2"/>
    <x v="2"/>
    <n v="6"/>
    <n v="230"/>
    <n v="1380"/>
    <n v="0.05"/>
    <n v="69"/>
    <x v="8"/>
  </r>
  <r>
    <x v="801"/>
    <x v="14"/>
    <x v="4"/>
    <x v="3"/>
    <n v="22"/>
    <n v="150"/>
    <n v="3300"/>
    <n v="0.05"/>
    <n v="165"/>
    <x v="2"/>
  </r>
  <r>
    <x v="802"/>
    <x v="15"/>
    <x v="2"/>
    <x v="3"/>
    <n v="8"/>
    <n v="230"/>
    <n v="1840"/>
    <n v="0.01"/>
    <n v="18.400000000000002"/>
    <x v="8"/>
  </r>
  <r>
    <x v="803"/>
    <x v="15"/>
    <x v="4"/>
    <x v="0"/>
    <n v="22"/>
    <n v="150"/>
    <n v="3300"/>
    <n v="0.05"/>
    <n v="165"/>
    <x v="2"/>
  </r>
  <r>
    <x v="804"/>
    <x v="15"/>
    <x v="1"/>
    <x v="0"/>
    <n v="5"/>
    <n v="40"/>
    <n v="200"/>
    <n v="0.06"/>
    <n v="12"/>
    <x v="8"/>
  </r>
  <r>
    <x v="805"/>
    <x v="15"/>
    <x v="4"/>
    <x v="3"/>
    <n v="20"/>
    <n v="150"/>
    <n v="3000"/>
    <n v="0.1"/>
    <n v="300"/>
    <x v="2"/>
  </r>
  <r>
    <x v="806"/>
    <x v="15"/>
    <x v="0"/>
    <x v="3"/>
    <n v="22"/>
    <n v="80"/>
    <n v="1760"/>
    <n v="0.03"/>
    <n v="52.8"/>
    <x v="8"/>
  </r>
  <r>
    <x v="807"/>
    <x v="15"/>
    <x v="3"/>
    <x v="0"/>
    <n v="11"/>
    <n v="16"/>
    <n v="176"/>
    <n v="0.09"/>
    <n v="15.84"/>
    <x v="2"/>
  </r>
  <r>
    <x v="808"/>
    <x v="15"/>
    <x v="3"/>
    <x v="1"/>
    <n v="22"/>
    <n v="16"/>
    <n v="352"/>
    <n v="0.01"/>
    <n v="3.52"/>
    <x v="8"/>
  </r>
  <r>
    <x v="809"/>
    <x v="15"/>
    <x v="1"/>
    <x v="1"/>
    <n v="23"/>
    <n v="40"/>
    <n v="920"/>
    <n v="0.06"/>
    <n v="55.199999999999996"/>
    <x v="2"/>
  </r>
  <r>
    <x v="810"/>
    <x v="15"/>
    <x v="0"/>
    <x v="2"/>
    <n v="14"/>
    <n v="80"/>
    <n v="1120"/>
    <n v="0.1"/>
    <n v="112"/>
    <x v="8"/>
  </r>
  <r>
    <x v="811"/>
    <x v="15"/>
    <x v="1"/>
    <x v="0"/>
    <n v="18"/>
    <n v="40"/>
    <n v="720"/>
    <n v="0.06"/>
    <n v="43.199999999999996"/>
    <x v="2"/>
  </r>
  <r>
    <x v="812"/>
    <x v="16"/>
    <x v="4"/>
    <x v="3"/>
    <n v="7"/>
    <n v="150"/>
    <n v="1050"/>
    <n v="0.05"/>
    <n v="52.5"/>
    <x v="1"/>
  </r>
  <r>
    <x v="813"/>
    <x v="16"/>
    <x v="1"/>
    <x v="3"/>
    <n v="15"/>
    <n v="40"/>
    <n v="600"/>
    <n v="0.03"/>
    <n v="18"/>
    <x v="2"/>
  </r>
  <r>
    <x v="814"/>
    <x v="16"/>
    <x v="3"/>
    <x v="0"/>
    <n v="7"/>
    <n v="16"/>
    <n v="112"/>
    <n v="0.02"/>
    <n v="2.2400000000000002"/>
    <x v="3"/>
  </r>
  <r>
    <x v="815"/>
    <x v="16"/>
    <x v="3"/>
    <x v="3"/>
    <n v="15"/>
    <n v="16"/>
    <n v="240"/>
    <n v="0.12"/>
    <n v="28.799999999999997"/>
    <x v="4"/>
  </r>
  <r>
    <x v="816"/>
    <x v="16"/>
    <x v="1"/>
    <x v="0"/>
    <n v="5"/>
    <n v="40"/>
    <n v="200"/>
    <n v="0.09"/>
    <n v="18"/>
    <x v="5"/>
  </r>
  <r>
    <x v="817"/>
    <x v="16"/>
    <x v="1"/>
    <x v="4"/>
    <n v="20"/>
    <n v="40"/>
    <n v="800"/>
    <n v="0.03"/>
    <n v="24"/>
    <x v="6"/>
  </r>
  <r>
    <x v="818"/>
    <x v="16"/>
    <x v="2"/>
    <x v="3"/>
    <n v="11"/>
    <n v="230"/>
    <n v="2530"/>
    <n v="0.12"/>
    <n v="303.59999999999997"/>
    <x v="7"/>
  </r>
  <r>
    <x v="819"/>
    <x v="16"/>
    <x v="3"/>
    <x v="4"/>
    <n v="17"/>
    <n v="16"/>
    <n v="272"/>
    <n v="0.08"/>
    <n v="21.76"/>
    <x v="8"/>
  </r>
  <r>
    <x v="820"/>
    <x v="17"/>
    <x v="3"/>
    <x v="0"/>
    <n v="18"/>
    <n v="16"/>
    <n v="288"/>
    <n v="0.11"/>
    <n v="31.68"/>
    <x v="9"/>
  </r>
  <r>
    <x v="821"/>
    <x v="17"/>
    <x v="2"/>
    <x v="3"/>
    <n v="2"/>
    <n v="230"/>
    <n v="460"/>
    <n v="0.08"/>
    <n v="36.800000000000004"/>
    <x v="10"/>
  </r>
  <r>
    <x v="822"/>
    <x v="17"/>
    <x v="3"/>
    <x v="2"/>
    <n v="17"/>
    <n v="16"/>
    <n v="272"/>
    <n v="0.05"/>
    <n v="13.600000000000001"/>
    <x v="11"/>
  </r>
  <r>
    <x v="823"/>
    <x v="17"/>
    <x v="0"/>
    <x v="3"/>
    <n v="16"/>
    <n v="80"/>
    <n v="1280"/>
    <n v="0.05"/>
    <n v="64"/>
    <x v="0"/>
  </r>
  <r>
    <x v="824"/>
    <x v="17"/>
    <x v="2"/>
    <x v="1"/>
    <n v="14"/>
    <n v="230"/>
    <n v="3220"/>
    <n v="0.05"/>
    <n v="161"/>
    <x v="1"/>
  </r>
  <r>
    <x v="825"/>
    <x v="17"/>
    <x v="1"/>
    <x v="2"/>
    <n v="13"/>
    <n v="40"/>
    <n v="520"/>
    <n v="0.02"/>
    <n v="10.4"/>
    <x v="2"/>
  </r>
  <r>
    <x v="826"/>
    <x v="17"/>
    <x v="2"/>
    <x v="1"/>
    <n v="7"/>
    <n v="230"/>
    <n v="1610"/>
    <n v="0.08"/>
    <n v="128.80000000000001"/>
    <x v="3"/>
  </r>
  <r>
    <x v="827"/>
    <x v="17"/>
    <x v="1"/>
    <x v="3"/>
    <n v="7"/>
    <n v="40"/>
    <n v="280"/>
    <n v="0.11"/>
    <n v="30.8"/>
    <x v="4"/>
  </r>
  <r>
    <x v="828"/>
    <x v="17"/>
    <x v="2"/>
    <x v="2"/>
    <n v="12"/>
    <n v="230"/>
    <n v="2760"/>
    <n v="0.06"/>
    <n v="165.6"/>
    <x v="5"/>
  </r>
  <r>
    <x v="829"/>
    <x v="17"/>
    <x v="1"/>
    <x v="0"/>
    <n v="19"/>
    <n v="40"/>
    <n v="760"/>
    <n v="0.04"/>
    <n v="30.400000000000002"/>
    <x v="1"/>
  </r>
  <r>
    <x v="830"/>
    <x v="18"/>
    <x v="2"/>
    <x v="2"/>
    <n v="20"/>
    <n v="230"/>
    <n v="4600"/>
    <n v="0.06"/>
    <n v="276"/>
    <x v="2"/>
  </r>
  <r>
    <x v="831"/>
    <x v="18"/>
    <x v="1"/>
    <x v="4"/>
    <n v="23"/>
    <n v="40"/>
    <n v="920"/>
    <n v="0.04"/>
    <n v="36.800000000000004"/>
    <x v="3"/>
  </r>
  <r>
    <x v="832"/>
    <x v="18"/>
    <x v="0"/>
    <x v="4"/>
    <n v="16"/>
    <n v="80"/>
    <n v="1280"/>
    <n v="0.05"/>
    <n v="64"/>
    <x v="4"/>
  </r>
  <r>
    <x v="833"/>
    <x v="18"/>
    <x v="4"/>
    <x v="1"/>
    <n v="23"/>
    <n v="150"/>
    <n v="3450"/>
    <n v="0.11"/>
    <n v="379.5"/>
    <x v="5"/>
  </r>
  <r>
    <x v="834"/>
    <x v="18"/>
    <x v="3"/>
    <x v="1"/>
    <n v="4"/>
    <n v="16"/>
    <n v="64"/>
    <n v="7.0000000000000007E-2"/>
    <n v="4.4800000000000004"/>
    <x v="6"/>
  </r>
  <r>
    <x v="835"/>
    <x v="18"/>
    <x v="2"/>
    <x v="0"/>
    <n v="8"/>
    <n v="230"/>
    <n v="1840"/>
    <n v="0.03"/>
    <n v="55.199999999999996"/>
    <x v="7"/>
  </r>
  <r>
    <x v="836"/>
    <x v="18"/>
    <x v="0"/>
    <x v="1"/>
    <n v="17"/>
    <n v="80"/>
    <n v="1360"/>
    <n v="0.03"/>
    <n v="40.799999999999997"/>
    <x v="8"/>
  </r>
  <r>
    <x v="837"/>
    <x v="18"/>
    <x v="0"/>
    <x v="3"/>
    <n v="10"/>
    <n v="80"/>
    <n v="800"/>
    <n v="0.1"/>
    <n v="80"/>
    <x v="9"/>
  </r>
  <r>
    <x v="838"/>
    <x v="18"/>
    <x v="3"/>
    <x v="0"/>
    <n v="20"/>
    <n v="16"/>
    <n v="320"/>
    <n v="0.11"/>
    <n v="35.200000000000003"/>
    <x v="10"/>
  </r>
  <r>
    <x v="839"/>
    <x v="19"/>
    <x v="2"/>
    <x v="3"/>
    <n v="19"/>
    <n v="230"/>
    <n v="4370"/>
    <n v="0.06"/>
    <n v="262.2"/>
    <x v="11"/>
  </r>
  <r>
    <x v="840"/>
    <x v="19"/>
    <x v="1"/>
    <x v="2"/>
    <n v="18"/>
    <n v="40"/>
    <n v="720"/>
    <n v="0.03"/>
    <n v="21.599999999999998"/>
    <x v="0"/>
  </r>
  <r>
    <x v="841"/>
    <x v="19"/>
    <x v="0"/>
    <x v="1"/>
    <n v="16"/>
    <n v="80"/>
    <n v="1280"/>
    <n v="0.04"/>
    <n v="51.2"/>
    <x v="1"/>
  </r>
  <r>
    <x v="842"/>
    <x v="19"/>
    <x v="0"/>
    <x v="3"/>
    <n v="8"/>
    <n v="80"/>
    <n v="640"/>
    <n v="0.06"/>
    <n v="38.4"/>
    <x v="2"/>
  </r>
  <r>
    <x v="843"/>
    <x v="19"/>
    <x v="4"/>
    <x v="3"/>
    <n v="4"/>
    <n v="150"/>
    <n v="600"/>
    <n v="0.12"/>
    <n v="72"/>
    <x v="3"/>
  </r>
  <r>
    <x v="844"/>
    <x v="19"/>
    <x v="2"/>
    <x v="2"/>
    <n v="15"/>
    <n v="230"/>
    <n v="3450"/>
    <n v="0.04"/>
    <n v="138"/>
    <x v="4"/>
  </r>
  <r>
    <x v="845"/>
    <x v="20"/>
    <x v="3"/>
    <x v="1"/>
    <n v="7"/>
    <n v="16"/>
    <n v="112"/>
    <n v="0.08"/>
    <n v="8.9600000000000009"/>
    <x v="5"/>
  </r>
  <r>
    <x v="846"/>
    <x v="20"/>
    <x v="1"/>
    <x v="0"/>
    <n v="18"/>
    <n v="40"/>
    <n v="720"/>
    <n v="0.11"/>
    <n v="79.2"/>
    <x v="1"/>
  </r>
  <r>
    <x v="847"/>
    <x v="20"/>
    <x v="1"/>
    <x v="2"/>
    <n v="4"/>
    <n v="40"/>
    <n v="160"/>
    <n v="0.06"/>
    <n v="9.6"/>
    <x v="2"/>
  </r>
  <r>
    <x v="848"/>
    <x v="20"/>
    <x v="1"/>
    <x v="4"/>
    <n v="16"/>
    <n v="40"/>
    <n v="640"/>
    <n v="0.09"/>
    <n v="57.599999999999994"/>
    <x v="3"/>
  </r>
  <r>
    <x v="849"/>
    <x v="20"/>
    <x v="1"/>
    <x v="1"/>
    <n v="18"/>
    <n v="40"/>
    <n v="720"/>
    <n v="0.08"/>
    <n v="57.6"/>
    <x v="4"/>
  </r>
  <r>
    <x v="850"/>
    <x v="20"/>
    <x v="1"/>
    <x v="0"/>
    <n v="9"/>
    <n v="40"/>
    <n v="360"/>
    <n v="0.01"/>
    <n v="3.6"/>
    <x v="5"/>
  </r>
  <r>
    <x v="851"/>
    <x v="20"/>
    <x v="2"/>
    <x v="3"/>
    <n v="16"/>
    <n v="230"/>
    <n v="3680"/>
    <n v="0.11"/>
    <n v="404.8"/>
    <x v="6"/>
  </r>
  <r>
    <x v="852"/>
    <x v="20"/>
    <x v="3"/>
    <x v="2"/>
    <n v="12"/>
    <n v="16"/>
    <n v="192"/>
    <n v="0.11"/>
    <n v="21.12"/>
    <x v="7"/>
  </r>
  <r>
    <x v="853"/>
    <x v="20"/>
    <x v="0"/>
    <x v="1"/>
    <n v="2"/>
    <n v="80"/>
    <n v="160"/>
    <n v="7.0000000000000007E-2"/>
    <n v="11.200000000000001"/>
    <x v="8"/>
  </r>
  <r>
    <x v="854"/>
    <x v="20"/>
    <x v="1"/>
    <x v="0"/>
    <n v="2"/>
    <n v="40"/>
    <n v="80"/>
    <n v="0.12"/>
    <n v="9.6"/>
    <x v="9"/>
  </r>
  <r>
    <x v="855"/>
    <x v="21"/>
    <x v="4"/>
    <x v="0"/>
    <n v="13"/>
    <n v="150"/>
    <n v="1950"/>
    <n v="0.05"/>
    <n v="97.5"/>
    <x v="10"/>
  </r>
  <r>
    <x v="856"/>
    <x v="21"/>
    <x v="0"/>
    <x v="0"/>
    <n v="14"/>
    <n v="80"/>
    <n v="1120"/>
    <n v="0.08"/>
    <n v="89.600000000000009"/>
    <x v="11"/>
  </r>
  <r>
    <x v="857"/>
    <x v="21"/>
    <x v="4"/>
    <x v="3"/>
    <n v="6"/>
    <n v="150"/>
    <n v="900"/>
    <n v="0.03"/>
    <n v="27"/>
    <x v="0"/>
  </r>
  <r>
    <x v="858"/>
    <x v="21"/>
    <x v="0"/>
    <x v="3"/>
    <n v="23"/>
    <n v="80"/>
    <n v="1840"/>
    <n v="0.11"/>
    <n v="202.4"/>
    <x v="1"/>
  </r>
  <r>
    <x v="859"/>
    <x v="21"/>
    <x v="0"/>
    <x v="3"/>
    <n v="21"/>
    <n v="80"/>
    <n v="1680"/>
    <n v="0.05"/>
    <n v="84"/>
    <x v="2"/>
  </r>
  <r>
    <x v="860"/>
    <x v="21"/>
    <x v="3"/>
    <x v="2"/>
    <n v="3"/>
    <n v="16"/>
    <n v="48"/>
    <n v="0.05"/>
    <n v="2.4000000000000004"/>
    <x v="3"/>
  </r>
  <r>
    <x v="861"/>
    <x v="21"/>
    <x v="3"/>
    <x v="1"/>
    <n v="21"/>
    <n v="16"/>
    <n v="336"/>
    <n v="0.02"/>
    <n v="6.72"/>
    <x v="4"/>
  </r>
  <r>
    <x v="862"/>
    <x v="21"/>
    <x v="0"/>
    <x v="3"/>
    <n v="4"/>
    <n v="80"/>
    <n v="320"/>
    <n v="0.11"/>
    <n v="35.200000000000003"/>
    <x v="5"/>
  </r>
  <r>
    <x v="863"/>
    <x v="21"/>
    <x v="4"/>
    <x v="4"/>
    <n v="23"/>
    <n v="150"/>
    <n v="3450"/>
    <n v="0.08"/>
    <n v="276"/>
    <x v="1"/>
  </r>
  <r>
    <x v="864"/>
    <x v="21"/>
    <x v="3"/>
    <x v="4"/>
    <n v="23"/>
    <n v="16"/>
    <n v="368"/>
    <n v="0.01"/>
    <n v="3.68"/>
    <x v="2"/>
  </r>
  <r>
    <x v="865"/>
    <x v="21"/>
    <x v="1"/>
    <x v="3"/>
    <n v="22"/>
    <n v="40"/>
    <n v="880"/>
    <n v="0.01"/>
    <n v="8.8000000000000007"/>
    <x v="3"/>
  </r>
  <r>
    <x v="866"/>
    <x v="22"/>
    <x v="4"/>
    <x v="0"/>
    <n v="8"/>
    <n v="150"/>
    <n v="1200"/>
    <n v="0.09"/>
    <n v="108"/>
    <x v="4"/>
  </r>
  <r>
    <x v="867"/>
    <x v="22"/>
    <x v="4"/>
    <x v="0"/>
    <n v="20"/>
    <n v="150"/>
    <n v="3000"/>
    <n v="0.01"/>
    <n v="30"/>
    <x v="5"/>
  </r>
  <r>
    <x v="868"/>
    <x v="22"/>
    <x v="2"/>
    <x v="1"/>
    <n v="22"/>
    <n v="230"/>
    <n v="5060"/>
    <n v="0.11"/>
    <n v="556.6"/>
    <x v="6"/>
  </r>
  <r>
    <x v="869"/>
    <x v="22"/>
    <x v="3"/>
    <x v="2"/>
    <n v="23"/>
    <n v="16"/>
    <n v="368"/>
    <n v="0.11"/>
    <n v="40.479999999999997"/>
    <x v="7"/>
  </r>
  <r>
    <x v="870"/>
    <x v="22"/>
    <x v="0"/>
    <x v="0"/>
    <n v="6"/>
    <n v="80"/>
    <n v="480"/>
    <n v="0.01"/>
    <n v="4.8"/>
    <x v="8"/>
  </r>
  <r>
    <x v="871"/>
    <x v="22"/>
    <x v="3"/>
    <x v="0"/>
    <n v="7"/>
    <n v="16"/>
    <n v="112"/>
    <n v="0.12"/>
    <n v="13.44"/>
    <x v="9"/>
  </r>
  <r>
    <x v="872"/>
    <x v="22"/>
    <x v="0"/>
    <x v="1"/>
    <n v="10"/>
    <n v="80"/>
    <n v="800"/>
    <n v="0.11"/>
    <n v="88"/>
    <x v="10"/>
  </r>
  <r>
    <x v="873"/>
    <x v="22"/>
    <x v="2"/>
    <x v="0"/>
    <n v="9"/>
    <n v="230"/>
    <n v="2070"/>
    <n v="7.0000000000000007E-2"/>
    <n v="144.9"/>
    <x v="11"/>
  </r>
  <r>
    <x v="874"/>
    <x v="23"/>
    <x v="1"/>
    <x v="1"/>
    <n v="12"/>
    <n v="40"/>
    <n v="480"/>
    <n v="0.1"/>
    <n v="48"/>
    <x v="0"/>
  </r>
  <r>
    <x v="875"/>
    <x v="23"/>
    <x v="3"/>
    <x v="4"/>
    <n v="17"/>
    <n v="16"/>
    <n v="272"/>
    <n v="0.1"/>
    <n v="27.200000000000003"/>
    <x v="1"/>
  </r>
  <r>
    <x v="876"/>
    <x v="23"/>
    <x v="4"/>
    <x v="2"/>
    <n v="22"/>
    <n v="150"/>
    <n v="3300"/>
    <n v="0.04"/>
    <n v="132"/>
    <x v="2"/>
  </r>
  <r>
    <x v="877"/>
    <x v="23"/>
    <x v="4"/>
    <x v="2"/>
    <n v="11"/>
    <n v="150"/>
    <n v="1650"/>
    <n v="0.05"/>
    <n v="82.5"/>
    <x v="3"/>
  </r>
  <r>
    <x v="878"/>
    <x v="23"/>
    <x v="0"/>
    <x v="4"/>
    <n v="9"/>
    <n v="80"/>
    <n v="720"/>
    <n v="0.02"/>
    <n v="14.4"/>
    <x v="4"/>
  </r>
  <r>
    <x v="879"/>
    <x v="23"/>
    <x v="0"/>
    <x v="4"/>
    <n v="13"/>
    <n v="80"/>
    <n v="1040"/>
    <n v="0.05"/>
    <n v="52"/>
    <x v="5"/>
  </r>
  <r>
    <x v="880"/>
    <x v="23"/>
    <x v="1"/>
    <x v="4"/>
    <n v="20"/>
    <n v="40"/>
    <n v="800"/>
    <n v="0.1"/>
    <n v="80"/>
    <x v="1"/>
  </r>
  <r>
    <x v="881"/>
    <x v="23"/>
    <x v="1"/>
    <x v="1"/>
    <n v="15"/>
    <n v="40"/>
    <n v="600"/>
    <n v="0.02"/>
    <n v="12"/>
    <x v="2"/>
  </r>
  <r>
    <x v="882"/>
    <x v="24"/>
    <x v="4"/>
    <x v="4"/>
    <n v="15"/>
    <n v="150"/>
    <n v="2250"/>
    <n v="7.0000000000000007E-2"/>
    <n v="157.50000000000003"/>
    <x v="3"/>
  </r>
  <r>
    <x v="883"/>
    <x v="24"/>
    <x v="0"/>
    <x v="4"/>
    <n v="16"/>
    <n v="80"/>
    <n v="1280"/>
    <n v="0.09"/>
    <n v="115.19999999999999"/>
    <x v="4"/>
  </r>
  <r>
    <x v="884"/>
    <x v="24"/>
    <x v="2"/>
    <x v="0"/>
    <n v="16"/>
    <n v="230"/>
    <n v="3680"/>
    <n v="7.0000000000000007E-2"/>
    <n v="257.60000000000002"/>
    <x v="5"/>
  </r>
  <r>
    <x v="885"/>
    <x v="24"/>
    <x v="0"/>
    <x v="1"/>
    <n v="14"/>
    <n v="80"/>
    <n v="1120"/>
    <n v="0.11"/>
    <n v="123.2"/>
    <x v="6"/>
  </r>
  <r>
    <x v="886"/>
    <x v="24"/>
    <x v="0"/>
    <x v="4"/>
    <n v="17"/>
    <n v="80"/>
    <n v="1360"/>
    <n v="7.0000000000000007E-2"/>
    <n v="95.2"/>
    <x v="7"/>
  </r>
  <r>
    <x v="887"/>
    <x v="24"/>
    <x v="0"/>
    <x v="2"/>
    <n v="16"/>
    <n v="80"/>
    <n v="1280"/>
    <n v="0.02"/>
    <n v="25.6"/>
    <x v="8"/>
  </r>
  <r>
    <x v="888"/>
    <x v="24"/>
    <x v="3"/>
    <x v="0"/>
    <n v="21"/>
    <n v="16"/>
    <n v="336"/>
    <n v="0.09"/>
    <n v="30.24"/>
    <x v="9"/>
  </r>
  <r>
    <x v="889"/>
    <x v="24"/>
    <x v="4"/>
    <x v="0"/>
    <n v="9"/>
    <n v="150"/>
    <n v="1350"/>
    <n v="0.1"/>
    <n v="135"/>
    <x v="10"/>
  </r>
  <r>
    <x v="890"/>
    <x v="24"/>
    <x v="4"/>
    <x v="3"/>
    <n v="3"/>
    <n v="150"/>
    <n v="450"/>
    <n v="0.01"/>
    <n v="4.5"/>
    <x v="11"/>
  </r>
  <r>
    <x v="891"/>
    <x v="25"/>
    <x v="0"/>
    <x v="1"/>
    <n v="14"/>
    <n v="80"/>
    <n v="1120"/>
    <n v="0.06"/>
    <n v="67.2"/>
    <x v="0"/>
  </r>
  <r>
    <x v="892"/>
    <x v="25"/>
    <x v="4"/>
    <x v="4"/>
    <n v="4"/>
    <n v="150"/>
    <n v="600"/>
    <n v="0.05"/>
    <n v="30"/>
    <x v="1"/>
  </r>
  <r>
    <x v="893"/>
    <x v="25"/>
    <x v="3"/>
    <x v="1"/>
    <n v="20"/>
    <n v="16"/>
    <n v="320"/>
    <n v="0.06"/>
    <n v="19.2"/>
    <x v="2"/>
  </r>
  <r>
    <x v="894"/>
    <x v="25"/>
    <x v="2"/>
    <x v="2"/>
    <n v="7"/>
    <n v="230"/>
    <n v="1610"/>
    <n v="0.01"/>
    <n v="16.100000000000001"/>
    <x v="3"/>
  </r>
  <r>
    <x v="895"/>
    <x v="25"/>
    <x v="0"/>
    <x v="1"/>
    <n v="9"/>
    <n v="80"/>
    <n v="720"/>
    <n v="0.03"/>
    <n v="21.599999999999998"/>
    <x v="4"/>
  </r>
  <r>
    <x v="896"/>
    <x v="25"/>
    <x v="1"/>
    <x v="3"/>
    <n v="4"/>
    <n v="40"/>
    <n v="160"/>
    <n v="0.05"/>
    <n v="8"/>
    <x v="5"/>
  </r>
  <r>
    <x v="897"/>
    <x v="25"/>
    <x v="0"/>
    <x v="0"/>
    <n v="6"/>
    <n v="80"/>
    <n v="480"/>
    <n v="7.0000000000000007E-2"/>
    <n v="33.6"/>
    <x v="1"/>
  </r>
  <r>
    <x v="898"/>
    <x v="25"/>
    <x v="3"/>
    <x v="2"/>
    <n v="8"/>
    <n v="16"/>
    <n v="128"/>
    <n v="0.03"/>
    <n v="3.84"/>
    <x v="2"/>
  </r>
  <r>
    <x v="899"/>
    <x v="25"/>
    <x v="3"/>
    <x v="0"/>
    <n v="10"/>
    <n v="16"/>
    <n v="160"/>
    <n v="0.08"/>
    <n v="12.8"/>
    <x v="3"/>
  </r>
  <r>
    <x v="900"/>
    <x v="25"/>
    <x v="3"/>
    <x v="3"/>
    <n v="22"/>
    <n v="16"/>
    <n v="352"/>
    <n v="0.03"/>
    <n v="10.559999999999999"/>
    <x v="4"/>
  </r>
  <r>
    <x v="901"/>
    <x v="25"/>
    <x v="0"/>
    <x v="3"/>
    <n v="11"/>
    <n v="80"/>
    <n v="880"/>
    <n v="0.01"/>
    <n v="8.8000000000000007"/>
    <x v="5"/>
  </r>
  <r>
    <x v="902"/>
    <x v="25"/>
    <x v="3"/>
    <x v="3"/>
    <n v="7"/>
    <n v="16"/>
    <n v="112"/>
    <n v="0.08"/>
    <n v="8.9600000000000009"/>
    <x v="6"/>
  </r>
  <r>
    <x v="903"/>
    <x v="26"/>
    <x v="3"/>
    <x v="2"/>
    <n v="11"/>
    <n v="16"/>
    <n v="176"/>
    <n v="0.12"/>
    <n v="21.119999999999997"/>
    <x v="7"/>
  </r>
  <r>
    <x v="904"/>
    <x v="26"/>
    <x v="1"/>
    <x v="4"/>
    <n v="7"/>
    <n v="40"/>
    <n v="280"/>
    <n v="0.05"/>
    <n v="14"/>
    <x v="8"/>
  </r>
  <r>
    <x v="905"/>
    <x v="26"/>
    <x v="4"/>
    <x v="2"/>
    <n v="9"/>
    <n v="150"/>
    <n v="1350"/>
    <n v="0.06"/>
    <n v="81"/>
    <x v="9"/>
  </r>
  <r>
    <x v="906"/>
    <x v="26"/>
    <x v="2"/>
    <x v="0"/>
    <n v="20"/>
    <n v="230"/>
    <n v="4600"/>
    <n v="0.04"/>
    <n v="184"/>
    <x v="10"/>
  </r>
  <r>
    <x v="907"/>
    <x v="26"/>
    <x v="4"/>
    <x v="2"/>
    <n v="9"/>
    <n v="150"/>
    <n v="1350"/>
    <n v="0.02"/>
    <n v="27"/>
    <x v="11"/>
  </r>
  <r>
    <x v="908"/>
    <x v="26"/>
    <x v="0"/>
    <x v="1"/>
    <n v="5"/>
    <n v="80"/>
    <n v="400"/>
    <n v="7.0000000000000007E-2"/>
    <n v="28.000000000000004"/>
    <x v="0"/>
  </r>
  <r>
    <x v="909"/>
    <x v="26"/>
    <x v="4"/>
    <x v="2"/>
    <n v="20"/>
    <n v="150"/>
    <n v="3000"/>
    <n v="0.04"/>
    <n v="120"/>
    <x v="1"/>
  </r>
  <r>
    <x v="910"/>
    <x v="26"/>
    <x v="4"/>
    <x v="3"/>
    <n v="15"/>
    <n v="150"/>
    <n v="2250"/>
    <n v="0.05"/>
    <n v="112.5"/>
    <x v="2"/>
  </r>
  <r>
    <x v="911"/>
    <x v="26"/>
    <x v="0"/>
    <x v="0"/>
    <n v="20"/>
    <n v="80"/>
    <n v="1600"/>
    <n v="0.01"/>
    <n v="16"/>
    <x v="3"/>
  </r>
  <r>
    <x v="912"/>
    <x v="27"/>
    <x v="2"/>
    <x v="1"/>
    <n v="12"/>
    <n v="230"/>
    <n v="2760"/>
    <n v="0.03"/>
    <n v="82.8"/>
    <x v="4"/>
  </r>
  <r>
    <x v="913"/>
    <x v="27"/>
    <x v="1"/>
    <x v="4"/>
    <n v="20"/>
    <n v="40"/>
    <n v="800"/>
    <n v="0.05"/>
    <n v="40"/>
    <x v="5"/>
  </r>
  <r>
    <x v="914"/>
    <x v="27"/>
    <x v="1"/>
    <x v="4"/>
    <n v="4"/>
    <n v="40"/>
    <n v="160"/>
    <n v="0.09"/>
    <n v="14.399999999999999"/>
    <x v="1"/>
  </r>
  <r>
    <x v="915"/>
    <x v="27"/>
    <x v="3"/>
    <x v="2"/>
    <n v="6"/>
    <n v="16"/>
    <n v="96"/>
    <n v="7.0000000000000007E-2"/>
    <n v="6.7200000000000006"/>
    <x v="2"/>
  </r>
  <r>
    <x v="916"/>
    <x v="27"/>
    <x v="0"/>
    <x v="1"/>
    <n v="13"/>
    <n v="80"/>
    <n v="1040"/>
    <n v="0.06"/>
    <n v="62.4"/>
    <x v="3"/>
  </r>
  <r>
    <x v="917"/>
    <x v="27"/>
    <x v="4"/>
    <x v="0"/>
    <n v="4"/>
    <n v="150"/>
    <n v="600"/>
    <n v="0.1"/>
    <n v="60"/>
    <x v="4"/>
  </r>
  <r>
    <x v="918"/>
    <x v="27"/>
    <x v="4"/>
    <x v="3"/>
    <n v="9"/>
    <n v="150"/>
    <n v="1350"/>
    <n v="0.02"/>
    <n v="27"/>
    <x v="5"/>
  </r>
  <r>
    <x v="919"/>
    <x v="27"/>
    <x v="4"/>
    <x v="0"/>
    <n v="11"/>
    <n v="150"/>
    <n v="1650"/>
    <n v="0.05"/>
    <n v="82.5"/>
    <x v="6"/>
  </r>
  <r>
    <x v="920"/>
    <x v="27"/>
    <x v="3"/>
    <x v="2"/>
    <n v="6"/>
    <n v="16"/>
    <n v="96"/>
    <n v="0.06"/>
    <n v="5.76"/>
    <x v="7"/>
  </r>
  <r>
    <x v="921"/>
    <x v="28"/>
    <x v="2"/>
    <x v="2"/>
    <n v="14"/>
    <n v="230"/>
    <n v="3220"/>
    <n v="0.12"/>
    <n v="386.4"/>
    <x v="8"/>
  </r>
  <r>
    <x v="922"/>
    <x v="28"/>
    <x v="0"/>
    <x v="1"/>
    <n v="15"/>
    <n v="80"/>
    <n v="1200"/>
    <n v="0.12"/>
    <n v="144"/>
    <x v="9"/>
  </r>
  <r>
    <x v="923"/>
    <x v="28"/>
    <x v="2"/>
    <x v="3"/>
    <n v="17"/>
    <n v="230"/>
    <n v="3910"/>
    <n v="0.12"/>
    <n v="469.2"/>
    <x v="10"/>
  </r>
  <r>
    <x v="924"/>
    <x v="28"/>
    <x v="4"/>
    <x v="0"/>
    <n v="5"/>
    <n v="150"/>
    <n v="750"/>
    <n v="0.11"/>
    <n v="82.5"/>
    <x v="11"/>
  </r>
  <r>
    <x v="925"/>
    <x v="28"/>
    <x v="0"/>
    <x v="4"/>
    <n v="10"/>
    <n v="80"/>
    <n v="800"/>
    <n v="0.06"/>
    <n v="48"/>
    <x v="0"/>
  </r>
  <r>
    <x v="926"/>
    <x v="28"/>
    <x v="0"/>
    <x v="0"/>
    <n v="9"/>
    <n v="80"/>
    <n v="720"/>
    <n v="0.04"/>
    <n v="28.8"/>
    <x v="1"/>
  </r>
  <r>
    <x v="927"/>
    <x v="28"/>
    <x v="1"/>
    <x v="4"/>
    <n v="16"/>
    <n v="40"/>
    <n v="640"/>
    <n v="0.09"/>
    <n v="57.599999999999994"/>
    <x v="2"/>
  </r>
  <r>
    <x v="928"/>
    <x v="28"/>
    <x v="2"/>
    <x v="0"/>
    <n v="7"/>
    <n v="230"/>
    <n v="1610"/>
    <n v="0.08"/>
    <n v="128.80000000000001"/>
    <x v="3"/>
  </r>
  <r>
    <x v="929"/>
    <x v="28"/>
    <x v="0"/>
    <x v="3"/>
    <n v="17"/>
    <n v="80"/>
    <n v="1360"/>
    <n v="0.05"/>
    <n v="68"/>
    <x v="4"/>
  </r>
  <r>
    <x v="930"/>
    <x v="28"/>
    <x v="2"/>
    <x v="0"/>
    <n v="11"/>
    <n v="230"/>
    <n v="2530"/>
    <n v="0.02"/>
    <n v="50.6"/>
    <x v="5"/>
  </r>
  <r>
    <x v="931"/>
    <x v="29"/>
    <x v="1"/>
    <x v="0"/>
    <n v="15"/>
    <n v="40"/>
    <n v="600"/>
    <n v="0.06"/>
    <n v="36"/>
    <x v="1"/>
  </r>
  <r>
    <x v="932"/>
    <x v="30"/>
    <x v="2"/>
    <x v="0"/>
    <n v="7"/>
    <n v="230"/>
    <n v="1610"/>
    <n v="0.02"/>
    <n v="32.200000000000003"/>
    <x v="2"/>
  </r>
  <r>
    <x v="933"/>
    <x v="30"/>
    <x v="0"/>
    <x v="2"/>
    <n v="20"/>
    <n v="80"/>
    <n v="1600"/>
    <n v="7.0000000000000007E-2"/>
    <n v="112.00000000000001"/>
    <x v="3"/>
  </r>
  <r>
    <x v="934"/>
    <x v="30"/>
    <x v="0"/>
    <x v="1"/>
    <n v="3"/>
    <n v="80"/>
    <n v="240"/>
    <n v="0.02"/>
    <n v="4.8"/>
    <x v="4"/>
  </r>
  <r>
    <x v="935"/>
    <x v="30"/>
    <x v="4"/>
    <x v="2"/>
    <n v="2"/>
    <n v="150"/>
    <n v="300"/>
    <n v="0.02"/>
    <n v="6"/>
    <x v="5"/>
  </r>
  <r>
    <x v="936"/>
    <x v="30"/>
    <x v="4"/>
    <x v="2"/>
    <n v="22"/>
    <n v="150"/>
    <n v="3300"/>
    <n v="0.09"/>
    <n v="297"/>
    <x v="6"/>
  </r>
  <r>
    <x v="937"/>
    <x v="30"/>
    <x v="2"/>
    <x v="0"/>
    <n v="5"/>
    <n v="230"/>
    <n v="1150"/>
    <n v="0.1"/>
    <n v="115"/>
    <x v="7"/>
  </r>
  <r>
    <x v="938"/>
    <x v="30"/>
    <x v="3"/>
    <x v="4"/>
    <n v="12"/>
    <n v="16"/>
    <n v="192"/>
    <n v="0.04"/>
    <n v="7.68"/>
    <x v="8"/>
  </r>
  <r>
    <x v="939"/>
    <x v="30"/>
    <x v="1"/>
    <x v="3"/>
    <n v="6"/>
    <n v="40"/>
    <n v="240"/>
    <n v="7.0000000000000007E-2"/>
    <n v="16.8"/>
    <x v="9"/>
  </r>
  <r>
    <x v="940"/>
    <x v="30"/>
    <x v="3"/>
    <x v="4"/>
    <n v="15"/>
    <n v="16"/>
    <n v="240"/>
    <n v="0.01"/>
    <n v="2.4"/>
    <x v="10"/>
  </r>
  <r>
    <x v="941"/>
    <x v="0"/>
    <x v="4"/>
    <x v="4"/>
    <n v="13"/>
    <n v="150"/>
    <n v="1950"/>
    <n v="0.11"/>
    <n v="214.5"/>
    <x v="11"/>
  </r>
  <r>
    <x v="942"/>
    <x v="0"/>
    <x v="1"/>
    <x v="1"/>
    <n v="8"/>
    <n v="40"/>
    <n v="320"/>
    <n v="0.09"/>
    <n v="28.799999999999997"/>
    <x v="0"/>
  </r>
  <r>
    <x v="943"/>
    <x v="0"/>
    <x v="1"/>
    <x v="3"/>
    <n v="7"/>
    <n v="40"/>
    <n v="280"/>
    <n v="7.0000000000000007E-2"/>
    <n v="19.600000000000001"/>
    <x v="1"/>
  </r>
  <r>
    <x v="944"/>
    <x v="0"/>
    <x v="1"/>
    <x v="1"/>
    <n v="18"/>
    <n v="40"/>
    <n v="720"/>
    <n v="0.08"/>
    <n v="57.6"/>
    <x v="2"/>
  </r>
  <r>
    <x v="945"/>
    <x v="0"/>
    <x v="2"/>
    <x v="3"/>
    <n v="19"/>
    <n v="230"/>
    <n v="4370"/>
    <n v="0.06"/>
    <n v="262.2"/>
    <x v="3"/>
  </r>
  <r>
    <x v="946"/>
    <x v="0"/>
    <x v="4"/>
    <x v="0"/>
    <n v="4"/>
    <n v="150"/>
    <n v="600"/>
    <n v="0.1"/>
    <n v="60"/>
    <x v="4"/>
  </r>
  <r>
    <x v="947"/>
    <x v="1"/>
    <x v="0"/>
    <x v="4"/>
    <n v="9"/>
    <n v="80"/>
    <n v="720"/>
    <n v="0.06"/>
    <n v="43.199999999999996"/>
    <x v="5"/>
  </r>
  <r>
    <x v="948"/>
    <x v="1"/>
    <x v="0"/>
    <x v="2"/>
    <n v="16"/>
    <n v="80"/>
    <n v="1280"/>
    <n v="0.02"/>
    <n v="25.6"/>
    <x v="1"/>
  </r>
  <r>
    <x v="949"/>
    <x v="1"/>
    <x v="2"/>
    <x v="1"/>
    <n v="15"/>
    <n v="230"/>
    <n v="3450"/>
    <n v="0.09"/>
    <n v="310.5"/>
    <x v="2"/>
  </r>
  <r>
    <x v="950"/>
    <x v="1"/>
    <x v="3"/>
    <x v="4"/>
    <n v="15"/>
    <n v="16"/>
    <n v="240"/>
    <n v="0.01"/>
    <n v="2.4"/>
    <x v="3"/>
  </r>
  <r>
    <x v="951"/>
    <x v="1"/>
    <x v="2"/>
    <x v="0"/>
    <n v="7"/>
    <n v="230"/>
    <n v="1610"/>
    <n v="0.02"/>
    <n v="32.200000000000003"/>
    <x v="4"/>
  </r>
  <r>
    <x v="952"/>
    <x v="1"/>
    <x v="3"/>
    <x v="2"/>
    <n v="23"/>
    <n v="16"/>
    <n v="368"/>
    <n v="0.11"/>
    <n v="40.479999999999997"/>
    <x v="5"/>
  </r>
  <r>
    <x v="953"/>
    <x v="1"/>
    <x v="1"/>
    <x v="4"/>
    <n v="20"/>
    <n v="40"/>
    <n v="800"/>
    <n v="0.05"/>
    <n v="40"/>
    <x v="6"/>
  </r>
  <r>
    <x v="954"/>
    <x v="2"/>
    <x v="2"/>
    <x v="1"/>
    <n v="9"/>
    <n v="230"/>
    <n v="2070"/>
    <n v="0.03"/>
    <n v="62.099999999999994"/>
    <x v="7"/>
  </r>
  <r>
    <x v="955"/>
    <x v="2"/>
    <x v="1"/>
    <x v="3"/>
    <n v="23"/>
    <n v="40"/>
    <n v="920"/>
    <n v="0.06"/>
    <n v="55.199999999999996"/>
    <x v="8"/>
  </r>
  <r>
    <x v="956"/>
    <x v="2"/>
    <x v="1"/>
    <x v="3"/>
    <n v="4"/>
    <n v="40"/>
    <n v="160"/>
    <n v="0.05"/>
    <n v="8"/>
    <x v="9"/>
  </r>
  <r>
    <x v="957"/>
    <x v="2"/>
    <x v="4"/>
    <x v="0"/>
    <n v="13"/>
    <n v="150"/>
    <n v="1950"/>
    <n v="0.05"/>
    <n v="97.5"/>
    <x v="10"/>
  </r>
  <r>
    <x v="958"/>
    <x v="2"/>
    <x v="2"/>
    <x v="1"/>
    <n v="7"/>
    <n v="230"/>
    <n v="1610"/>
    <n v="0.01"/>
    <n v="16.100000000000001"/>
    <x v="11"/>
  </r>
  <r>
    <x v="959"/>
    <x v="2"/>
    <x v="2"/>
    <x v="1"/>
    <n v="7"/>
    <n v="230"/>
    <n v="1610"/>
    <n v="0.08"/>
    <n v="128.80000000000001"/>
    <x v="0"/>
  </r>
  <r>
    <x v="960"/>
    <x v="2"/>
    <x v="2"/>
    <x v="2"/>
    <n v="15"/>
    <n v="230"/>
    <n v="3450"/>
    <n v="0.04"/>
    <n v="138"/>
    <x v="1"/>
  </r>
  <r>
    <x v="961"/>
    <x v="2"/>
    <x v="1"/>
    <x v="3"/>
    <n v="15"/>
    <n v="40"/>
    <n v="600"/>
    <n v="0.03"/>
    <n v="18"/>
    <x v="2"/>
  </r>
  <r>
    <x v="962"/>
    <x v="2"/>
    <x v="1"/>
    <x v="2"/>
    <n v="2"/>
    <n v="40"/>
    <n v="80"/>
    <n v="0.03"/>
    <n v="2.4"/>
    <x v="3"/>
  </r>
  <r>
    <x v="963"/>
    <x v="2"/>
    <x v="4"/>
    <x v="2"/>
    <n v="2"/>
    <n v="150"/>
    <n v="300"/>
    <n v="0.02"/>
    <n v="6"/>
    <x v="4"/>
  </r>
  <r>
    <x v="964"/>
    <x v="3"/>
    <x v="2"/>
    <x v="0"/>
    <n v="3"/>
    <n v="230"/>
    <n v="690"/>
    <n v="0.11"/>
    <n v="75.900000000000006"/>
    <x v="5"/>
  </r>
  <r>
    <x v="965"/>
    <x v="3"/>
    <x v="1"/>
    <x v="2"/>
    <n v="4"/>
    <n v="40"/>
    <n v="160"/>
    <n v="0.06"/>
    <n v="9.6"/>
    <x v="1"/>
  </r>
  <r>
    <x v="966"/>
    <x v="3"/>
    <x v="1"/>
    <x v="3"/>
    <n v="13"/>
    <n v="40"/>
    <n v="520"/>
    <n v="0.06"/>
    <n v="31.2"/>
    <x v="2"/>
  </r>
  <r>
    <x v="967"/>
    <x v="3"/>
    <x v="3"/>
    <x v="3"/>
    <n v="15"/>
    <n v="16"/>
    <n v="240"/>
    <n v="0.12"/>
    <n v="28.799999999999997"/>
    <x v="3"/>
  </r>
  <r>
    <x v="968"/>
    <x v="3"/>
    <x v="0"/>
    <x v="0"/>
    <n v="14"/>
    <n v="80"/>
    <n v="1120"/>
    <n v="0.08"/>
    <n v="89.600000000000009"/>
    <x v="4"/>
  </r>
  <r>
    <x v="969"/>
    <x v="3"/>
    <x v="3"/>
    <x v="0"/>
    <n v="7"/>
    <n v="16"/>
    <n v="112"/>
    <n v="0.08"/>
    <n v="8.9600000000000009"/>
    <x v="5"/>
  </r>
  <r>
    <x v="970"/>
    <x v="3"/>
    <x v="4"/>
    <x v="1"/>
    <n v="13"/>
    <n v="150"/>
    <n v="1950"/>
    <n v="0.02"/>
    <n v="39"/>
    <x v="6"/>
  </r>
  <r>
    <x v="971"/>
    <x v="3"/>
    <x v="4"/>
    <x v="2"/>
    <n v="9"/>
    <n v="150"/>
    <n v="1350"/>
    <n v="0.02"/>
    <n v="27"/>
    <x v="7"/>
  </r>
  <r>
    <x v="972"/>
    <x v="3"/>
    <x v="1"/>
    <x v="0"/>
    <n v="9"/>
    <n v="40"/>
    <n v="360"/>
    <n v="0.01"/>
    <n v="3.6"/>
    <x v="8"/>
  </r>
  <r>
    <x v="973"/>
    <x v="4"/>
    <x v="0"/>
    <x v="4"/>
    <n v="9"/>
    <n v="80"/>
    <n v="720"/>
    <n v="7.0000000000000007E-2"/>
    <n v="50.400000000000006"/>
    <x v="9"/>
  </r>
  <r>
    <x v="974"/>
    <x v="4"/>
    <x v="2"/>
    <x v="1"/>
    <n v="22"/>
    <n v="230"/>
    <n v="5060"/>
    <n v="0.11"/>
    <n v="556.6"/>
    <x v="10"/>
  </r>
  <r>
    <x v="975"/>
    <x v="4"/>
    <x v="4"/>
    <x v="1"/>
    <n v="15"/>
    <n v="150"/>
    <n v="2250"/>
    <n v="0.02"/>
    <n v="45"/>
    <x v="11"/>
  </r>
  <r>
    <x v="976"/>
    <x v="4"/>
    <x v="2"/>
    <x v="4"/>
    <n v="5"/>
    <n v="230"/>
    <n v="1150"/>
    <n v="0.12"/>
    <n v="138"/>
    <x v="0"/>
  </r>
  <r>
    <x v="977"/>
    <x v="4"/>
    <x v="1"/>
    <x v="2"/>
    <n v="20"/>
    <n v="40"/>
    <n v="800"/>
    <n v="0.01"/>
    <n v="8"/>
    <x v="1"/>
  </r>
  <r>
    <x v="978"/>
    <x v="4"/>
    <x v="1"/>
    <x v="0"/>
    <n v="23"/>
    <n v="40"/>
    <n v="920"/>
    <n v="0.03"/>
    <n v="27.599999999999998"/>
    <x v="2"/>
  </r>
  <r>
    <x v="979"/>
    <x v="4"/>
    <x v="0"/>
    <x v="4"/>
    <n v="16"/>
    <n v="80"/>
    <n v="1280"/>
    <n v="0.05"/>
    <n v="64"/>
    <x v="3"/>
  </r>
  <r>
    <x v="980"/>
    <x v="4"/>
    <x v="2"/>
    <x v="2"/>
    <n v="18"/>
    <n v="230"/>
    <n v="4140"/>
    <n v="0.01"/>
    <n v="41.4"/>
    <x v="4"/>
  </r>
  <r>
    <x v="981"/>
    <x v="4"/>
    <x v="1"/>
    <x v="4"/>
    <n v="23"/>
    <n v="40"/>
    <n v="920"/>
    <n v="0.05"/>
    <n v="46"/>
    <x v="5"/>
  </r>
  <r>
    <x v="982"/>
    <x v="4"/>
    <x v="3"/>
    <x v="3"/>
    <n v="5"/>
    <n v="16"/>
    <n v="80"/>
    <n v="0.09"/>
    <n v="7.1999999999999993"/>
    <x v="1"/>
  </r>
  <r>
    <x v="983"/>
    <x v="4"/>
    <x v="1"/>
    <x v="0"/>
    <n v="22"/>
    <n v="40"/>
    <n v="880"/>
    <n v="0.02"/>
    <n v="17.600000000000001"/>
    <x v="2"/>
  </r>
  <r>
    <x v="984"/>
    <x v="5"/>
    <x v="4"/>
    <x v="0"/>
    <n v="23"/>
    <n v="150"/>
    <n v="3450"/>
    <n v="0.1"/>
    <n v="345"/>
    <x v="3"/>
  </r>
  <r>
    <x v="985"/>
    <x v="5"/>
    <x v="2"/>
    <x v="1"/>
    <n v="22"/>
    <n v="230"/>
    <n v="5060"/>
    <n v="0.04"/>
    <n v="202.4"/>
    <x v="4"/>
  </r>
  <r>
    <x v="986"/>
    <x v="5"/>
    <x v="0"/>
    <x v="3"/>
    <n v="16"/>
    <n v="80"/>
    <n v="1280"/>
    <n v="7.0000000000000007E-2"/>
    <n v="89.600000000000009"/>
    <x v="5"/>
  </r>
  <r>
    <x v="987"/>
    <x v="5"/>
    <x v="4"/>
    <x v="2"/>
    <n v="22"/>
    <n v="150"/>
    <n v="3300"/>
    <n v="0.09"/>
    <n v="297"/>
    <x v="6"/>
  </r>
  <r>
    <x v="988"/>
    <x v="5"/>
    <x v="0"/>
    <x v="2"/>
    <n v="5"/>
    <n v="80"/>
    <n v="400"/>
    <n v="0.09"/>
    <n v="36"/>
    <x v="7"/>
  </r>
  <r>
    <x v="989"/>
    <x v="5"/>
    <x v="0"/>
    <x v="3"/>
    <n v="16"/>
    <n v="80"/>
    <n v="1280"/>
    <n v="0.1"/>
    <n v="128"/>
    <x v="8"/>
  </r>
  <r>
    <x v="990"/>
    <x v="5"/>
    <x v="4"/>
    <x v="1"/>
    <n v="23"/>
    <n v="150"/>
    <n v="3450"/>
    <n v="0.11"/>
    <n v="379.5"/>
    <x v="9"/>
  </r>
  <r>
    <x v="991"/>
    <x v="5"/>
    <x v="3"/>
    <x v="1"/>
    <n v="4"/>
    <n v="16"/>
    <n v="64"/>
    <n v="0.09"/>
    <n v="5.76"/>
    <x v="10"/>
  </r>
  <r>
    <x v="992"/>
    <x v="5"/>
    <x v="3"/>
    <x v="1"/>
    <n v="4"/>
    <n v="16"/>
    <n v="64"/>
    <n v="7.0000000000000007E-2"/>
    <n v="4.4800000000000004"/>
    <x v="11"/>
  </r>
  <r>
    <x v="993"/>
    <x v="5"/>
    <x v="3"/>
    <x v="0"/>
    <n v="16"/>
    <n v="16"/>
    <n v="256"/>
    <n v="0.03"/>
    <n v="7.68"/>
    <x v="0"/>
  </r>
  <r>
    <x v="994"/>
    <x v="5"/>
    <x v="1"/>
    <x v="3"/>
    <n v="18"/>
    <n v="40"/>
    <n v="720"/>
    <n v="0.04"/>
    <n v="28.8"/>
    <x v="1"/>
  </r>
  <r>
    <x v="995"/>
    <x v="5"/>
    <x v="0"/>
    <x v="3"/>
    <n v="21"/>
    <n v="80"/>
    <n v="1680"/>
    <n v="0.02"/>
    <n v="33.6"/>
    <x v="2"/>
  </r>
  <r>
    <x v="996"/>
    <x v="5"/>
    <x v="0"/>
    <x v="4"/>
    <n v="10"/>
    <n v="80"/>
    <n v="800"/>
    <n v="0.06"/>
    <n v="48"/>
    <x v="3"/>
  </r>
  <r>
    <x v="997"/>
    <x v="5"/>
    <x v="2"/>
    <x v="2"/>
    <n v="7"/>
    <n v="230"/>
    <n v="1610"/>
    <n v="0.01"/>
    <n v="16.100000000000001"/>
    <x v="4"/>
  </r>
  <r>
    <x v="998"/>
    <x v="6"/>
    <x v="3"/>
    <x v="4"/>
    <n v="11"/>
    <n v="16"/>
    <n v="176"/>
    <n v="0.12"/>
    <n v="21.119999999999997"/>
    <x v="5"/>
  </r>
  <r>
    <x v="999"/>
    <x v="6"/>
    <x v="0"/>
    <x v="3"/>
    <n v="10"/>
    <n v="80"/>
    <n v="800"/>
    <n v="0.1"/>
    <n v="80"/>
    <x v="1"/>
  </r>
  <r>
    <x v="1000"/>
    <x v="6"/>
    <x v="1"/>
    <x v="1"/>
    <n v="23"/>
    <n v="40"/>
    <n v="920"/>
    <n v="0.06"/>
    <n v="55.199999999999996"/>
    <x v="2"/>
  </r>
  <r>
    <x v="1001"/>
    <x v="6"/>
    <x v="4"/>
    <x v="4"/>
    <n v="7"/>
    <n v="150"/>
    <n v="1050"/>
    <n v="0.02"/>
    <n v="21"/>
    <x v="3"/>
  </r>
  <r>
    <x v="1002"/>
    <x v="6"/>
    <x v="0"/>
    <x v="0"/>
    <n v="17"/>
    <n v="80"/>
    <n v="1360"/>
    <n v="7.0000000000000007E-2"/>
    <n v="95.2"/>
    <x v="4"/>
  </r>
  <r>
    <x v="1003"/>
    <x v="6"/>
    <x v="4"/>
    <x v="1"/>
    <n v="20"/>
    <n v="150"/>
    <n v="3000"/>
    <n v="0.09"/>
    <n v="270"/>
    <x v="5"/>
  </r>
  <r>
    <x v="1004"/>
    <x v="6"/>
    <x v="2"/>
    <x v="3"/>
    <n v="23"/>
    <n v="230"/>
    <n v="5290"/>
    <n v="0.06"/>
    <n v="317.39999999999998"/>
    <x v="6"/>
  </r>
  <r>
    <x v="1005"/>
    <x v="6"/>
    <x v="0"/>
    <x v="1"/>
    <n v="16"/>
    <n v="80"/>
    <n v="1280"/>
    <n v="0.04"/>
    <n v="51.2"/>
    <x v="7"/>
  </r>
  <r>
    <x v="1006"/>
    <x v="6"/>
    <x v="2"/>
    <x v="4"/>
    <n v="22"/>
    <n v="230"/>
    <n v="5060"/>
    <n v="0.1"/>
    <n v="506"/>
    <x v="8"/>
  </r>
  <r>
    <x v="1007"/>
    <x v="6"/>
    <x v="2"/>
    <x v="2"/>
    <n v="15"/>
    <n v="230"/>
    <n v="3450"/>
    <n v="0.11"/>
    <n v="379.5"/>
    <x v="9"/>
  </r>
  <r>
    <x v="1008"/>
    <x v="6"/>
    <x v="1"/>
    <x v="1"/>
    <n v="15"/>
    <n v="40"/>
    <n v="600"/>
    <n v="0.04"/>
    <n v="24"/>
    <x v="10"/>
  </r>
  <r>
    <x v="1009"/>
    <x v="6"/>
    <x v="0"/>
    <x v="1"/>
    <n v="2"/>
    <n v="80"/>
    <n v="160"/>
    <n v="7.0000000000000007E-2"/>
    <n v="11.200000000000001"/>
    <x v="11"/>
  </r>
  <r>
    <x v="1010"/>
    <x v="7"/>
    <x v="4"/>
    <x v="0"/>
    <n v="22"/>
    <n v="150"/>
    <n v="3300"/>
    <n v="0.05"/>
    <n v="165"/>
    <x v="0"/>
  </r>
  <r>
    <x v="1011"/>
    <x v="7"/>
    <x v="1"/>
    <x v="4"/>
    <n v="20"/>
    <n v="40"/>
    <n v="800"/>
    <n v="7.0000000000000007E-2"/>
    <n v="56.000000000000007"/>
    <x v="1"/>
  </r>
  <r>
    <x v="1012"/>
    <x v="7"/>
    <x v="2"/>
    <x v="3"/>
    <n v="2"/>
    <n v="230"/>
    <n v="460"/>
    <n v="0.09"/>
    <n v="41.4"/>
    <x v="2"/>
  </r>
  <r>
    <x v="1013"/>
    <x v="7"/>
    <x v="1"/>
    <x v="3"/>
    <n v="7"/>
    <n v="40"/>
    <n v="280"/>
    <n v="0.11"/>
    <n v="30.8"/>
    <x v="3"/>
  </r>
  <r>
    <x v="1014"/>
    <x v="7"/>
    <x v="1"/>
    <x v="3"/>
    <n v="9"/>
    <n v="40"/>
    <n v="360"/>
    <n v="0.06"/>
    <n v="21.599999999999998"/>
    <x v="5"/>
  </r>
  <r>
    <x v="1015"/>
    <x v="7"/>
    <x v="1"/>
    <x v="0"/>
    <n v="18"/>
    <n v="40"/>
    <n v="720"/>
    <n v="0.11"/>
    <n v="79.2"/>
    <x v="1"/>
  </r>
  <r>
    <x v="1016"/>
    <x v="7"/>
    <x v="2"/>
    <x v="0"/>
    <n v="20"/>
    <n v="230"/>
    <n v="4600"/>
    <n v="0.04"/>
    <n v="184"/>
    <x v="2"/>
  </r>
  <r>
    <x v="1017"/>
    <x v="7"/>
    <x v="0"/>
    <x v="2"/>
    <n v="23"/>
    <n v="80"/>
    <n v="1840"/>
    <n v="0.05"/>
    <n v="92"/>
    <x v="3"/>
  </r>
  <r>
    <x v="1018"/>
    <x v="7"/>
    <x v="4"/>
    <x v="4"/>
    <n v="11"/>
    <n v="150"/>
    <n v="1650"/>
    <n v="0.09"/>
    <n v="148.5"/>
    <x v="4"/>
  </r>
  <r>
    <x v="1019"/>
    <x v="7"/>
    <x v="4"/>
    <x v="0"/>
    <n v="17"/>
    <n v="150"/>
    <n v="2550"/>
    <n v="0.12"/>
    <n v="306"/>
    <x v="5"/>
  </r>
  <r>
    <x v="1020"/>
    <x v="7"/>
    <x v="2"/>
    <x v="4"/>
    <n v="2"/>
    <n v="230"/>
    <n v="460"/>
    <n v="0.08"/>
    <n v="36.800000000000004"/>
    <x v="6"/>
  </r>
  <r>
    <x v="1021"/>
    <x v="7"/>
    <x v="0"/>
    <x v="2"/>
    <n v="10"/>
    <n v="80"/>
    <n v="800"/>
    <n v="0.11"/>
    <n v="88"/>
    <x v="7"/>
  </r>
  <r>
    <x v="1022"/>
    <x v="8"/>
    <x v="3"/>
    <x v="3"/>
    <n v="22"/>
    <n v="16"/>
    <n v="352"/>
    <n v="0.03"/>
    <n v="10.559999999999999"/>
    <x v="8"/>
  </r>
  <r>
    <x v="1023"/>
    <x v="8"/>
    <x v="3"/>
    <x v="2"/>
    <n v="9"/>
    <n v="16"/>
    <n v="144"/>
    <n v="0.05"/>
    <n v="7.2"/>
    <x v="9"/>
  </r>
  <r>
    <x v="1024"/>
    <x v="8"/>
    <x v="1"/>
    <x v="2"/>
    <n v="4"/>
    <n v="40"/>
    <n v="160"/>
    <n v="0.1"/>
    <n v="16"/>
    <x v="10"/>
  </r>
  <r>
    <x v="1025"/>
    <x v="8"/>
    <x v="0"/>
    <x v="4"/>
    <n v="9"/>
    <n v="80"/>
    <n v="720"/>
    <n v="0.02"/>
    <n v="14.4"/>
    <x v="11"/>
  </r>
  <r>
    <x v="1026"/>
    <x v="8"/>
    <x v="2"/>
    <x v="2"/>
    <n v="6"/>
    <n v="230"/>
    <n v="1380"/>
    <n v="0.05"/>
    <n v="69"/>
    <x v="0"/>
  </r>
  <r>
    <x v="1027"/>
    <x v="8"/>
    <x v="0"/>
    <x v="3"/>
    <n v="14"/>
    <n v="80"/>
    <n v="1120"/>
    <n v="0.05"/>
    <n v="56"/>
    <x v="1"/>
  </r>
  <r>
    <x v="1028"/>
    <x v="8"/>
    <x v="3"/>
    <x v="4"/>
    <n v="17"/>
    <n v="16"/>
    <n v="272"/>
    <n v="0.08"/>
    <n v="21.76"/>
    <x v="2"/>
  </r>
  <r>
    <x v="1029"/>
    <x v="8"/>
    <x v="4"/>
    <x v="1"/>
    <n v="22"/>
    <n v="150"/>
    <n v="3300"/>
    <n v="0.02"/>
    <n v="66"/>
    <x v="3"/>
  </r>
  <r>
    <x v="1030"/>
    <x v="8"/>
    <x v="1"/>
    <x v="4"/>
    <n v="17"/>
    <n v="40"/>
    <n v="680"/>
    <n v="0.02"/>
    <n v="13.6"/>
    <x v="4"/>
  </r>
  <r>
    <x v="1031"/>
    <x v="8"/>
    <x v="0"/>
    <x v="4"/>
    <n v="17"/>
    <n v="80"/>
    <n v="1360"/>
    <n v="7.0000000000000007E-2"/>
    <n v="95.2"/>
    <x v="5"/>
  </r>
  <r>
    <x v="1032"/>
    <x v="8"/>
    <x v="4"/>
    <x v="3"/>
    <n v="4"/>
    <n v="150"/>
    <n v="600"/>
    <n v="0.12"/>
    <n v="72"/>
    <x v="1"/>
  </r>
  <r>
    <x v="1033"/>
    <x v="8"/>
    <x v="3"/>
    <x v="3"/>
    <n v="14"/>
    <n v="16"/>
    <n v="224"/>
    <n v="0.12"/>
    <n v="26.88"/>
    <x v="2"/>
  </r>
  <r>
    <x v="1034"/>
    <x v="8"/>
    <x v="3"/>
    <x v="0"/>
    <n v="18"/>
    <n v="16"/>
    <n v="288"/>
    <n v="0.11"/>
    <n v="31.68"/>
    <x v="3"/>
  </r>
  <r>
    <x v="1035"/>
    <x v="8"/>
    <x v="0"/>
    <x v="4"/>
    <n v="22"/>
    <n v="80"/>
    <n v="1760"/>
    <n v="0.09"/>
    <n v="158.4"/>
    <x v="4"/>
  </r>
  <r>
    <x v="1036"/>
    <x v="8"/>
    <x v="2"/>
    <x v="1"/>
    <n v="12"/>
    <n v="230"/>
    <n v="2760"/>
    <n v="0.03"/>
    <n v="82.8"/>
    <x v="5"/>
  </r>
  <r>
    <x v="1037"/>
    <x v="8"/>
    <x v="1"/>
    <x v="1"/>
    <n v="12"/>
    <n v="40"/>
    <n v="480"/>
    <n v="0.1"/>
    <n v="48"/>
    <x v="6"/>
  </r>
  <r>
    <x v="1038"/>
    <x v="9"/>
    <x v="1"/>
    <x v="4"/>
    <n v="7"/>
    <n v="40"/>
    <n v="280"/>
    <n v="0.12"/>
    <n v="33.6"/>
    <x v="7"/>
  </r>
  <r>
    <x v="1039"/>
    <x v="9"/>
    <x v="0"/>
    <x v="0"/>
    <n v="12"/>
    <n v="80"/>
    <n v="960"/>
    <n v="0.04"/>
    <n v="38.4"/>
    <x v="8"/>
  </r>
  <r>
    <x v="1040"/>
    <x v="9"/>
    <x v="3"/>
    <x v="4"/>
    <n v="17"/>
    <n v="16"/>
    <n v="272"/>
    <n v="0.1"/>
    <n v="27.200000000000003"/>
    <x v="9"/>
  </r>
  <r>
    <x v="1041"/>
    <x v="9"/>
    <x v="2"/>
    <x v="1"/>
    <n v="6"/>
    <n v="230"/>
    <n v="1380"/>
    <n v="0.1"/>
    <n v="138"/>
    <x v="10"/>
  </r>
  <r>
    <x v="1042"/>
    <x v="9"/>
    <x v="1"/>
    <x v="0"/>
    <n v="11"/>
    <n v="40"/>
    <n v="440"/>
    <n v="0.04"/>
    <n v="17.600000000000001"/>
    <x v="11"/>
  </r>
  <r>
    <x v="1043"/>
    <x v="9"/>
    <x v="3"/>
    <x v="3"/>
    <n v="10"/>
    <n v="16"/>
    <n v="160"/>
    <n v="0.04"/>
    <n v="6.4"/>
    <x v="0"/>
  </r>
  <r>
    <x v="1044"/>
    <x v="9"/>
    <x v="0"/>
    <x v="0"/>
    <n v="6"/>
    <n v="80"/>
    <n v="480"/>
    <n v="7.0000000000000007E-2"/>
    <n v="33.6"/>
    <x v="1"/>
  </r>
  <r>
    <x v="1045"/>
    <x v="9"/>
    <x v="1"/>
    <x v="3"/>
    <n v="11"/>
    <n v="40"/>
    <n v="440"/>
    <n v="0.09"/>
    <n v="39.6"/>
    <x v="2"/>
  </r>
  <r>
    <x v="1046"/>
    <x v="9"/>
    <x v="0"/>
    <x v="4"/>
    <n v="16"/>
    <n v="80"/>
    <n v="1280"/>
    <n v="0.09"/>
    <n v="115.19999999999999"/>
    <x v="3"/>
  </r>
  <r>
    <x v="1047"/>
    <x v="9"/>
    <x v="1"/>
    <x v="3"/>
    <n v="13"/>
    <n v="40"/>
    <n v="520"/>
    <n v="0.09"/>
    <n v="46.8"/>
    <x v="4"/>
  </r>
  <r>
    <x v="1048"/>
    <x v="9"/>
    <x v="2"/>
    <x v="0"/>
    <n v="5"/>
    <n v="230"/>
    <n v="1150"/>
    <n v="0.1"/>
    <n v="115"/>
    <x v="5"/>
  </r>
  <r>
    <x v="1049"/>
    <x v="10"/>
    <x v="1"/>
    <x v="4"/>
    <n v="7"/>
    <n v="40"/>
    <n v="280"/>
    <n v="0.05"/>
    <n v="14"/>
    <x v="1"/>
  </r>
  <r>
    <x v="1050"/>
    <x v="10"/>
    <x v="0"/>
    <x v="2"/>
    <n v="14"/>
    <n v="80"/>
    <n v="1120"/>
    <n v="0.1"/>
    <n v="112"/>
    <x v="2"/>
  </r>
  <r>
    <x v="1051"/>
    <x v="10"/>
    <x v="3"/>
    <x v="4"/>
    <n v="12"/>
    <n v="16"/>
    <n v="192"/>
    <n v="0.04"/>
    <n v="7.68"/>
    <x v="3"/>
  </r>
  <r>
    <x v="1052"/>
    <x v="10"/>
    <x v="2"/>
    <x v="2"/>
    <n v="14"/>
    <n v="230"/>
    <n v="3220"/>
    <n v="0.03"/>
    <n v="96.6"/>
    <x v="4"/>
  </r>
  <r>
    <x v="1053"/>
    <x v="10"/>
    <x v="0"/>
    <x v="4"/>
    <n v="21"/>
    <n v="80"/>
    <n v="1680"/>
    <n v="0.09"/>
    <n v="151.19999999999999"/>
    <x v="5"/>
  </r>
  <r>
    <x v="1054"/>
    <x v="10"/>
    <x v="2"/>
    <x v="2"/>
    <n v="5"/>
    <n v="230"/>
    <n v="1150"/>
    <n v="0.1"/>
    <n v="115"/>
    <x v="6"/>
  </r>
  <r>
    <x v="1055"/>
    <x v="10"/>
    <x v="1"/>
    <x v="4"/>
    <n v="16"/>
    <n v="40"/>
    <n v="640"/>
    <n v="0.09"/>
    <n v="57.599999999999994"/>
    <x v="7"/>
  </r>
  <r>
    <x v="1056"/>
    <x v="10"/>
    <x v="4"/>
    <x v="1"/>
    <n v="15"/>
    <n v="150"/>
    <n v="2250"/>
    <n v="0.12"/>
    <n v="270"/>
    <x v="8"/>
  </r>
  <r>
    <x v="1057"/>
    <x v="10"/>
    <x v="3"/>
    <x v="4"/>
    <n v="23"/>
    <n v="16"/>
    <n v="368"/>
    <n v="0.01"/>
    <n v="3.68"/>
    <x v="9"/>
  </r>
  <r>
    <x v="1058"/>
    <x v="10"/>
    <x v="3"/>
    <x v="1"/>
    <n v="22"/>
    <n v="16"/>
    <n v="352"/>
    <n v="0.04"/>
    <n v="14.08"/>
    <x v="10"/>
  </r>
  <r>
    <x v="1059"/>
    <x v="10"/>
    <x v="0"/>
    <x v="0"/>
    <n v="20"/>
    <n v="80"/>
    <n v="1600"/>
    <n v="0.01"/>
    <n v="16"/>
    <x v="11"/>
  </r>
  <r>
    <x v="1060"/>
    <x v="10"/>
    <x v="1"/>
    <x v="3"/>
    <n v="6"/>
    <n v="40"/>
    <n v="240"/>
    <n v="7.0000000000000007E-2"/>
    <n v="16.8"/>
    <x v="0"/>
  </r>
  <r>
    <x v="1061"/>
    <x v="11"/>
    <x v="4"/>
    <x v="1"/>
    <n v="10"/>
    <n v="150"/>
    <n v="1500"/>
    <n v="0.01"/>
    <n v="15"/>
    <x v="1"/>
  </r>
  <r>
    <x v="1062"/>
    <x v="11"/>
    <x v="0"/>
    <x v="3"/>
    <n v="17"/>
    <n v="80"/>
    <n v="1360"/>
    <n v="0.05"/>
    <n v="68"/>
    <x v="2"/>
  </r>
  <r>
    <x v="1063"/>
    <x v="11"/>
    <x v="4"/>
    <x v="0"/>
    <n v="13"/>
    <n v="150"/>
    <n v="1950"/>
    <n v="0.05"/>
    <n v="97.5"/>
    <x v="3"/>
  </r>
  <r>
    <x v="1064"/>
    <x v="11"/>
    <x v="2"/>
    <x v="3"/>
    <n v="8"/>
    <n v="230"/>
    <n v="1840"/>
    <n v="0.05"/>
    <n v="92"/>
    <x v="4"/>
  </r>
  <r>
    <x v="1065"/>
    <x v="11"/>
    <x v="3"/>
    <x v="0"/>
    <n v="10"/>
    <n v="16"/>
    <n v="160"/>
    <n v="0.08"/>
    <n v="12.8"/>
    <x v="5"/>
  </r>
  <r>
    <x v="1066"/>
    <x v="11"/>
    <x v="1"/>
    <x v="1"/>
    <n v="4"/>
    <n v="40"/>
    <n v="160"/>
    <n v="0.06"/>
    <n v="9.6"/>
    <x v="1"/>
  </r>
  <r>
    <x v="1067"/>
    <x v="11"/>
    <x v="1"/>
    <x v="4"/>
    <n v="18"/>
    <n v="40"/>
    <n v="720"/>
    <n v="0.06"/>
    <n v="43.199999999999996"/>
    <x v="2"/>
  </r>
  <r>
    <x v="1068"/>
    <x v="11"/>
    <x v="4"/>
    <x v="3"/>
    <n v="15"/>
    <n v="150"/>
    <n v="2250"/>
    <n v="0.05"/>
    <n v="112.5"/>
    <x v="3"/>
  </r>
  <r>
    <x v="1069"/>
    <x v="11"/>
    <x v="4"/>
    <x v="3"/>
    <n v="3"/>
    <n v="150"/>
    <n v="450"/>
    <n v="0.01"/>
    <n v="4.5"/>
    <x v="4"/>
  </r>
  <r>
    <x v="1070"/>
    <x v="11"/>
    <x v="3"/>
    <x v="0"/>
    <n v="12"/>
    <n v="16"/>
    <n v="192"/>
    <n v="0.11"/>
    <n v="21.12"/>
    <x v="5"/>
  </r>
  <r>
    <x v="1071"/>
    <x v="12"/>
    <x v="0"/>
    <x v="4"/>
    <n v="17"/>
    <n v="80"/>
    <n v="1360"/>
    <n v="7.0000000000000007E-2"/>
    <n v="95.2"/>
    <x v="6"/>
  </r>
  <r>
    <x v="1072"/>
    <x v="12"/>
    <x v="2"/>
    <x v="0"/>
    <n v="3"/>
    <n v="230"/>
    <n v="690"/>
    <n v="0.06"/>
    <n v="41.4"/>
    <x v="7"/>
  </r>
  <r>
    <x v="1073"/>
    <x v="12"/>
    <x v="0"/>
    <x v="2"/>
    <n v="20"/>
    <n v="80"/>
    <n v="1600"/>
    <n v="7.0000000000000007E-2"/>
    <n v="112.00000000000001"/>
    <x v="8"/>
  </r>
  <r>
    <x v="1074"/>
    <x v="12"/>
    <x v="2"/>
    <x v="1"/>
    <n v="14"/>
    <n v="230"/>
    <n v="3220"/>
    <n v="0.05"/>
    <n v="161"/>
    <x v="9"/>
  </r>
  <r>
    <x v="1075"/>
    <x v="12"/>
    <x v="1"/>
    <x v="4"/>
    <n v="16"/>
    <n v="40"/>
    <n v="640"/>
    <n v="0.09"/>
    <n v="57.599999999999994"/>
    <x v="10"/>
  </r>
  <r>
    <x v="1076"/>
    <x v="12"/>
    <x v="3"/>
    <x v="1"/>
    <n v="7"/>
    <n v="16"/>
    <n v="112"/>
    <n v="0.08"/>
    <n v="8.9600000000000009"/>
    <x v="11"/>
  </r>
  <r>
    <x v="1077"/>
    <x v="12"/>
    <x v="1"/>
    <x v="1"/>
    <n v="19"/>
    <n v="40"/>
    <n v="760"/>
    <n v="0.1"/>
    <n v="76"/>
    <x v="0"/>
  </r>
  <r>
    <x v="1078"/>
    <x v="12"/>
    <x v="2"/>
    <x v="3"/>
    <n v="7"/>
    <n v="230"/>
    <n v="1610"/>
    <n v="0.06"/>
    <n v="96.6"/>
    <x v="1"/>
  </r>
  <r>
    <x v="1079"/>
    <x v="12"/>
    <x v="1"/>
    <x v="4"/>
    <n v="20"/>
    <n v="40"/>
    <n v="800"/>
    <n v="0.03"/>
    <n v="24"/>
    <x v="2"/>
  </r>
  <r>
    <x v="1080"/>
    <x v="12"/>
    <x v="3"/>
    <x v="2"/>
    <n v="11"/>
    <n v="16"/>
    <n v="176"/>
    <n v="0.12"/>
    <n v="21.119999999999997"/>
    <x v="3"/>
  </r>
  <r>
    <x v="1081"/>
    <x v="12"/>
    <x v="0"/>
    <x v="4"/>
    <n v="16"/>
    <n v="80"/>
    <n v="1280"/>
    <n v="0.09"/>
    <n v="115.19999999999999"/>
    <x v="4"/>
  </r>
  <r>
    <x v="1082"/>
    <x v="12"/>
    <x v="3"/>
    <x v="0"/>
    <n v="21"/>
    <n v="16"/>
    <n v="336"/>
    <n v="0.09"/>
    <n v="30.24"/>
    <x v="5"/>
  </r>
  <r>
    <x v="1083"/>
    <x v="12"/>
    <x v="3"/>
    <x v="0"/>
    <n v="22"/>
    <n v="16"/>
    <n v="352"/>
    <n v="0.01"/>
    <n v="3.52"/>
    <x v="1"/>
  </r>
  <r>
    <x v="1084"/>
    <x v="12"/>
    <x v="2"/>
    <x v="3"/>
    <n v="23"/>
    <n v="230"/>
    <n v="5290"/>
    <n v="0.06"/>
    <n v="317.39999999999998"/>
    <x v="2"/>
  </r>
  <r>
    <x v="1085"/>
    <x v="12"/>
    <x v="4"/>
    <x v="0"/>
    <n v="9"/>
    <n v="150"/>
    <n v="1350"/>
    <n v="0.1"/>
    <n v="135"/>
    <x v="3"/>
  </r>
  <r>
    <x v="1086"/>
    <x v="12"/>
    <x v="4"/>
    <x v="2"/>
    <n v="9"/>
    <n v="150"/>
    <n v="1350"/>
    <n v="0.06"/>
    <n v="81"/>
    <x v="4"/>
  </r>
  <r>
    <x v="1087"/>
    <x v="13"/>
    <x v="2"/>
    <x v="0"/>
    <n v="9"/>
    <n v="230"/>
    <n v="2070"/>
    <n v="7.0000000000000007E-2"/>
    <n v="144.9"/>
    <x v="5"/>
  </r>
  <r>
    <x v="1088"/>
    <x v="13"/>
    <x v="0"/>
    <x v="2"/>
    <n v="10"/>
    <n v="80"/>
    <n v="800"/>
    <n v="0.08"/>
    <n v="64"/>
    <x v="6"/>
  </r>
  <r>
    <x v="1089"/>
    <x v="13"/>
    <x v="3"/>
    <x v="2"/>
    <n v="23"/>
    <n v="16"/>
    <n v="368"/>
    <n v="0.11"/>
    <n v="40.479999999999997"/>
    <x v="7"/>
  </r>
  <r>
    <x v="1090"/>
    <x v="13"/>
    <x v="0"/>
    <x v="3"/>
    <n v="22"/>
    <n v="80"/>
    <n v="1760"/>
    <n v="0.03"/>
    <n v="52.8"/>
    <x v="8"/>
  </r>
  <r>
    <x v="1091"/>
    <x v="13"/>
    <x v="0"/>
    <x v="3"/>
    <n v="4"/>
    <n v="80"/>
    <n v="320"/>
    <n v="0.11"/>
    <n v="35.200000000000003"/>
    <x v="9"/>
  </r>
  <r>
    <x v="1092"/>
    <x v="13"/>
    <x v="3"/>
    <x v="0"/>
    <n v="22"/>
    <n v="16"/>
    <n v="352"/>
    <n v="0.06"/>
    <n v="21.119999999999997"/>
    <x v="10"/>
  </r>
  <r>
    <x v="1093"/>
    <x v="13"/>
    <x v="1"/>
    <x v="1"/>
    <n v="15"/>
    <n v="40"/>
    <n v="600"/>
    <n v="0.02"/>
    <n v="12"/>
    <x v="11"/>
  </r>
  <r>
    <x v="1094"/>
    <x v="13"/>
    <x v="1"/>
    <x v="4"/>
    <n v="7"/>
    <n v="40"/>
    <n v="280"/>
    <n v="0.04"/>
    <n v="11.200000000000001"/>
    <x v="0"/>
  </r>
  <r>
    <x v="1095"/>
    <x v="13"/>
    <x v="3"/>
    <x v="4"/>
    <n v="2"/>
    <n v="16"/>
    <n v="32"/>
    <n v="0.04"/>
    <n v="1.28"/>
    <x v="1"/>
  </r>
  <r>
    <x v="1096"/>
    <x v="13"/>
    <x v="0"/>
    <x v="3"/>
    <n v="7"/>
    <n v="80"/>
    <n v="560"/>
    <n v="0.02"/>
    <n v="11.200000000000001"/>
    <x v="2"/>
  </r>
  <r>
    <x v="1097"/>
    <x v="14"/>
    <x v="3"/>
    <x v="4"/>
    <n v="22"/>
    <n v="16"/>
    <n v="352"/>
    <n v="0.12"/>
    <n v="42.239999999999995"/>
    <x v="3"/>
  </r>
  <r>
    <x v="1098"/>
    <x v="14"/>
    <x v="1"/>
    <x v="1"/>
    <n v="21"/>
    <n v="40"/>
    <n v="840"/>
    <n v="0.03"/>
    <n v="25.2"/>
    <x v="4"/>
  </r>
  <r>
    <x v="1099"/>
    <x v="14"/>
    <x v="0"/>
    <x v="0"/>
    <n v="6"/>
    <n v="80"/>
    <n v="480"/>
    <n v="0.01"/>
    <n v="4.8"/>
    <x v="5"/>
  </r>
  <r>
    <x v="1100"/>
    <x v="14"/>
    <x v="0"/>
    <x v="4"/>
    <n v="13"/>
    <n v="80"/>
    <n v="1040"/>
    <n v="0.05"/>
    <n v="52"/>
    <x v="1"/>
  </r>
  <r>
    <x v="1101"/>
    <x v="14"/>
    <x v="0"/>
    <x v="3"/>
    <n v="11"/>
    <n v="80"/>
    <n v="880"/>
    <n v="0.01"/>
    <n v="8.8000000000000007"/>
    <x v="2"/>
  </r>
  <r>
    <x v="1102"/>
    <x v="14"/>
    <x v="1"/>
    <x v="0"/>
    <n v="18"/>
    <n v="40"/>
    <n v="720"/>
    <n v="0.06"/>
    <n v="43.199999999999996"/>
    <x v="3"/>
  </r>
  <r>
    <x v="1103"/>
    <x v="14"/>
    <x v="4"/>
    <x v="3"/>
    <n v="7"/>
    <n v="150"/>
    <n v="1050"/>
    <n v="0.05"/>
    <n v="52.5"/>
    <x v="4"/>
  </r>
  <r>
    <x v="1104"/>
    <x v="14"/>
    <x v="1"/>
    <x v="0"/>
    <n v="2"/>
    <n v="40"/>
    <n v="80"/>
    <n v="0.12"/>
    <n v="9.6"/>
    <x v="5"/>
  </r>
  <r>
    <x v="1105"/>
    <x v="14"/>
    <x v="0"/>
    <x v="1"/>
    <n v="14"/>
    <n v="80"/>
    <n v="1120"/>
    <n v="0.06"/>
    <n v="67.2"/>
    <x v="6"/>
  </r>
  <r>
    <x v="1106"/>
    <x v="14"/>
    <x v="4"/>
    <x v="4"/>
    <n v="7"/>
    <n v="150"/>
    <n v="1050"/>
    <n v="0.03"/>
    <n v="31.5"/>
    <x v="7"/>
  </r>
  <r>
    <x v="1107"/>
    <x v="14"/>
    <x v="3"/>
    <x v="3"/>
    <n v="10"/>
    <n v="16"/>
    <n v="160"/>
    <n v="0.01"/>
    <n v="1.6"/>
    <x v="8"/>
  </r>
  <r>
    <x v="1108"/>
    <x v="15"/>
    <x v="1"/>
    <x v="1"/>
    <n v="7"/>
    <n v="40"/>
    <n v="280"/>
    <n v="0.01"/>
    <n v="2.8000000000000003"/>
    <x v="9"/>
  </r>
  <r>
    <x v="1109"/>
    <x v="15"/>
    <x v="3"/>
    <x v="3"/>
    <n v="7"/>
    <n v="16"/>
    <n v="112"/>
    <n v="0.08"/>
    <n v="8.9600000000000009"/>
    <x v="10"/>
  </r>
  <r>
    <x v="1110"/>
    <x v="15"/>
    <x v="4"/>
    <x v="2"/>
    <n v="15"/>
    <n v="150"/>
    <n v="2250"/>
    <n v="0.05"/>
    <n v="112.5"/>
    <x v="11"/>
  </r>
  <r>
    <x v="1111"/>
    <x v="15"/>
    <x v="0"/>
    <x v="0"/>
    <n v="7"/>
    <n v="80"/>
    <n v="560"/>
    <n v="0.02"/>
    <n v="11.200000000000001"/>
    <x v="0"/>
  </r>
  <r>
    <x v="1112"/>
    <x v="15"/>
    <x v="1"/>
    <x v="2"/>
    <n v="6"/>
    <n v="40"/>
    <n v="240"/>
    <n v="0.06"/>
    <n v="14.399999999999999"/>
    <x v="1"/>
  </r>
  <r>
    <x v="1113"/>
    <x v="15"/>
    <x v="2"/>
    <x v="0"/>
    <n v="3"/>
    <n v="230"/>
    <n v="690"/>
    <n v="0.06"/>
    <n v="41.4"/>
    <x v="2"/>
  </r>
  <r>
    <x v="1114"/>
    <x v="15"/>
    <x v="4"/>
    <x v="2"/>
    <n v="20"/>
    <n v="150"/>
    <n v="3000"/>
    <n v="0.04"/>
    <n v="120"/>
    <x v="3"/>
  </r>
  <r>
    <x v="1115"/>
    <x v="15"/>
    <x v="2"/>
    <x v="2"/>
    <n v="20"/>
    <n v="230"/>
    <n v="4600"/>
    <n v="0.06"/>
    <n v="276"/>
    <x v="4"/>
  </r>
  <r>
    <x v="1116"/>
    <x v="15"/>
    <x v="3"/>
    <x v="2"/>
    <n v="14"/>
    <n v="16"/>
    <n v="224"/>
    <n v="0.01"/>
    <n v="2.2400000000000002"/>
    <x v="5"/>
  </r>
  <r>
    <x v="1117"/>
    <x v="15"/>
    <x v="4"/>
    <x v="2"/>
    <n v="20"/>
    <n v="150"/>
    <n v="3000"/>
    <n v="0.04"/>
    <n v="120"/>
    <x v="1"/>
  </r>
  <r>
    <x v="1118"/>
    <x v="15"/>
    <x v="0"/>
    <x v="0"/>
    <n v="17"/>
    <n v="80"/>
    <n v="1360"/>
    <n v="0.09"/>
    <n v="122.39999999999999"/>
    <x v="2"/>
  </r>
  <r>
    <x v="1119"/>
    <x v="16"/>
    <x v="4"/>
    <x v="2"/>
    <n v="20"/>
    <n v="150"/>
    <n v="3000"/>
    <n v="0.12"/>
    <n v="360"/>
    <x v="3"/>
  </r>
  <r>
    <x v="1120"/>
    <x v="16"/>
    <x v="3"/>
    <x v="2"/>
    <n v="11"/>
    <n v="16"/>
    <n v="176"/>
    <n v="0.04"/>
    <n v="7.04"/>
    <x v="4"/>
  </r>
  <r>
    <x v="1121"/>
    <x v="16"/>
    <x v="2"/>
    <x v="4"/>
    <n v="7"/>
    <n v="230"/>
    <n v="1610"/>
    <n v="0.05"/>
    <n v="80.5"/>
    <x v="5"/>
  </r>
  <r>
    <x v="1122"/>
    <x v="16"/>
    <x v="1"/>
    <x v="1"/>
    <n v="14"/>
    <n v="40"/>
    <n v="560"/>
    <n v="0.06"/>
    <n v="33.6"/>
    <x v="6"/>
  </r>
  <r>
    <x v="1123"/>
    <x v="16"/>
    <x v="0"/>
    <x v="1"/>
    <n v="13"/>
    <n v="80"/>
    <n v="1040"/>
    <n v="0.06"/>
    <n v="62.4"/>
    <x v="7"/>
  </r>
  <r>
    <x v="1124"/>
    <x v="16"/>
    <x v="3"/>
    <x v="2"/>
    <n v="17"/>
    <n v="16"/>
    <n v="272"/>
    <n v="0.05"/>
    <n v="13.600000000000001"/>
    <x v="8"/>
  </r>
  <r>
    <x v="1125"/>
    <x v="16"/>
    <x v="2"/>
    <x v="2"/>
    <n v="12"/>
    <n v="230"/>
    <n v="2760"/>
    <n v="0.03"/>
    <n v="82.8"/>
    <x v="9"/>
  </r>
  <r>
    <x v="1126"/>
    <x v="16"/>
    <x v="1"/>
    <x v="1"/>
    <n v="4"/>
    <n v="40"/>
    <n v="160"/>
    <n v="0.12"/>
    <n v="19.2"/>
    <x v="10"/>
  </r>
  <r>
    <x v="1127"/>
    <x v="16"/>
    <x v="3"/>
    <x v="0"/>
    <n v="20"/>
    <n v="16"/>
    <n v="320"/>
    <n v="0.01"/>
    <n v="3.2"/>
    <x v="11"/>
  </r>
  <r>
    <x v="1128"/>
    <x v="16"/>
    <x v="0"/>
    <x v="3"/>
    <n v="8"/>
    <n v="80"/>
    <n v="640"/>
    <n v="0.06"/>
    <n v="38.4"/>
    <x v="0"/>
  </r>
  <r>
    <x v="1129"/>
    <x v="16"/>
    <x v="0"/>
    <x v="0"/>
    <n v="18"/>
    <n v="80"/>
    <n v="1440"/>
    <n v="0.02"/>
    <n v="28.8"/>
    <x v="1"/>
  </r>
  <r>
    <x v="1130"/>
    <x v="16"/>
    <x v="3"/>
    <x v="2"/>
    <n v="6"/>
    <n v="16"/>
    <n v="96"/>
    <n v="0.06"/>
    <n v="5.76"/>
    <x v="2"/>
  </r>
  <r>
    <x v="1131"/>
    <x v="16"/>
    <x v="0"/>
    <x v="0"/>
    <n v="9"/>
    <n v="80"/>
    <n v="720"/>
    <n v="0.04"/>
    <n v="28.8"/>
    <x v="3"/>
  </r>
  <r>
    <x v="1132"/>
    <x v="17"/>
    <x v="0"/>
    <x v="2"/>
    <n v="8"/>
    <n v="80"/>
    <n v="640"/>
    <n v="0.02"/>
    <n v="12.8"/>
    <x v="4"/>
  </r>
  <r>
    <x v="1133"/>
    <x v="17"/>
    <x v="4"/>
    <x v="3"/>
    <n v="6"/>
    <n v="150"/>
    <n v="900"/>
    <n v="0.03"/>
    <n v="27"/>
    <x v="5"/>
  </r>
  <r>
    <x v="1134"/>
    <x v="17"/>
    <x v="3"/>
    <x v="3"/>
    <n v="14"/>
    <n v="16"/>
    <n v="224"/>
    <n v="0.12"/>
    <n v="26.88"/>
    <x v="1"/>
  </r>
  <r>
    <x v="1135"/>
    <x v="17"/>
    <x v="0"/>
    <x v="2"/>
    <n v="6"/>
    <n v="80"/>
    <n v="480"/>
    <n v="0.09"/>
    <n v="43.199999999999996"/>
    <x v="2"/>
  </r>
  <r>
    <x v="1136"/>
    <x v="17"/>
    <x v="1"/>
    <x v="4"/>
    <n v="23"/>
    <n v="40"/>
    <n v="920"/>
    <n v="0.04"/>
    <n v="36.800000000000004"/>
    <x v="3"/>
  </r>
  <r>
    <x v="1137"/>
    <x v="17"/>
    <x v="1"/>
    <x v="2"/>
    <n v="12"/>
    <n v="40"/>
    <n v="480"/>
    <n v="0.02"/>
    <n v="9.6"/>
    <x v="4"/>
  </r>
  <r>
    <x v="1138"/>
    <x v="17"/>
    <x v="1"/>
    <x v="3"/>
    <n v="22"/>
    <n v="40"/>
    <n v="880"/>
    <n v="0.01"/>
    <n v="8.8000000000000007"/>
    <x v="5"/>
  </r>
  <r>
    <x v="1139"/>
    <x v="17"/>
    <x v="4"/>
    <x v="3"/>
    <n v="6"/>
    <n v="150"/>
    <n v="900"/>
    <n v="0.03"/>
    <n v="27"/>
    <x v="6"/>
  </r>
  <r>
    <x v="1140"/>
    <x v="17"/>
    <x v="3"/>
    <x v="4"/>
    <n v="19"/>
    <n v="16"/>
    <n v="304"/>
    <n v="0.02"/>
    <n v="6.08"/>
    <x v="7"/>
  </r>
  <r>
    <x v="1141"/>
    <x v="17"/>
    <x v="1"/>
    <x v="2"/>
    <n v="2"/>
    <n v="40"/>
    <n v="80"/>
    <n v="0.02"/>
    <n v="1.6"/>
    <x v="8"/>
  </r>
  <r>
    <x v="1142"/>
    <x v="18"/>
    <x v="1"/>
    <x v="3"/>
    <n v="22"/>
    <n v="40"/>
    <n v="880"/>
    <n v="0.01"/>
    <n v="8.8000000000000007"/>
    <x v="9"/>
  </r>
  <r>
    <x v="1143"/>
    <x v="18"/>
    <x v="2"/>
    <x v="3"/>
    <n v="3"/>
    <n v="230"/>
    <n v="690"/>
    <n v="0.01"/>
    <n v="6.9"/>
    <x v="10"/>
  </r>
  <r>
    <x v="1144"/>
    <x v="18"/>
    <x v="1"/>
    <x v="3"/>
    <n v="23"/>
    <n v="40"/>
    <n v="920"/>
    <n v="0.06"/>
    <n v="55.199999999999996"/>
    <x v="11"/>
  </r>
  <r>
    <x v="1145"/>
    <x v="18"/>
    <x v="1"/>
    <x v="4"/>
    <n v="5"/>
    <n v="40"/>
    <n v="200"/>
    <n v="0.03"/>
    <n v="6"/>
    <x v="0"/>
  </r>
  <r>
    <x v="1146"/>
    <x v="18"/>
    <x v="0"/>
    <x v="0"/>
    <n v="8"/>
    <n v="80"/>
    <n v="640"/>
    <n v="0.08"/>
    <n v="51.2"/>
    <x v="1"/>
  </r>
  <r>
    <x v="1147"/>
    <x v="18"/>
    <x v="1"/>
    <x v="2"/>
    <n v="18"/>
    <n v="40"/>
    <n v="720"/>
    <n v="0.03"/>
    <n v="21.599999999999998"/>
    <x v="2"/>
  </r>
  <r>
    <x v="1148"/>
    <x v="18"/>
    <x v="1"/>
    <x v="4"/>
    <n v="20"/>
    <n v="40"/>
    <n v="800"/>
    <n v="0.1"/>
    <n v="80"/>
    <x v="3"/>
  </r>
  <r>
    <x v="1149"/>
    <x v="18"/>
    <x v="1"/>
    <x v="2"/>
    <n v="2"/>
    <n v="40"/>
    <n v="80"/>
    <n v="0.03"/>
    <n v="2.4"/>
    <x v="4"/>
  </r>
  <r>
    <x v="1150"/>
    <x v="18"/>
    <x v="2"/>
    <x v="0"/>
    <n v="15"/>
    <n v="230"/>
    <n v="3450"/>
    <n v="0.05"/>
    <n v="172.5"/>
    <x v="5"/>
  </r>
  <r>
    <x v="1151"/>
    <x v="18"/>
    <x v="4"/>
    <x v="3"/>
    <n v="15"/>
    <n v="150"/>
    <n v="2250"/>
    <n v="0.08"/>
    <n v="180"/>
    <x v="1"/>
  </r>
  <r>
    <x v="1152"/>
    <x v="18"/>
    <x v="4"/>
    <x v="3"/>
    <n v="22"/>
    <n v="150"/>
    <n v="3300"/>
    <n v="0.05"/>
    <n v="165"/>
    <x v="2"/>
  </r>
  <r>
    <x v="1153"/>
    <x v="18"/>
    <x v="2"/>
    <x v="1"/>
    <n v="19"/>
    <n v="230"/>
    <n v="4370"/>
    <n v="0.11"/>
    <n v="480.7"/>
    <x v="3"/>
  </r>
  <r>
    <x v="1154"/>
    <x v="18"/>
    <x v="0"/>
    <x v="1"/>
    <n v="10"/>
    <n v="80"/>
    <n v="800"/>
    <n v="0.11"/>
    <n v="88"/>
    <x v="4"/>
  </r>
  <r>
    <x v="1155"/>
    <x v="18"/>
    <x v="1"/>
    <x v="3"/>
    <n v="18"/>
    <n v="40"/>
    <n v="720"/>
    <n v="0.06"/>
    <n v="43.199999999999996"/>
    <x v="5"/>
  </r>
  <r>
    <x v="1156"/>
    <x v="18"/>
    <x v="0"/>
    <x v="3"/>
    <n v="16"/>
    <n v="80"/>
    <n v="1280"/>
    <n v="0.05"/>
    <n v="64"/>
    <x v="6"/>
  </r>
  <r>
    <x v="1157"/>
    <x v="18"/>
    <x v="4"/>
    <x v="4"/>
    <n v="17"/>
    <n v="150"/>
    <n v="2550"/>
    <n v="0.02"/>
    <n v="51"/>
    <x v="7"/>
  </r>
  <r>
    <x v="1158"/>
    <x v="19"/>
    <x v="2"/>
    <x v="0"/>
    <n v="8"/>
    <n v="230"/>
    <n v="1840"/>
    <n v="0.03"/>
    <n v="55.199999999999996"/>
    <x v="8"/>
  </r>
  <r>
    <x v="1159"/>
    <x v="19"/>
    <x v="0"/>
    <x v="3"/>
    <n v="11"/>
    <n v="80"/>
    <n v="880"/>
    <n v="0.01"/>
    <n v="8.8000000000000007"/>
    <x v="9"/>
  </r>
  <r>
    <x v="1160"/>
    <x v="19"/>
    <x v="1"/>
    <x v="0"/>
    <n v="5"/>
    <n v="40"/>
    <n v="200"/>
    <n v="0.06"/>
    <n v="12"/>
    <x v="10"/>
  </r>
  <r>
    <x v="1161"/>
    <x v="19"/>
    <x v="1"/>
    <x v="4"/>
    <n v="11"/>
    <n v="40"/>
    <n v="440"/>
    <n v="0.05"/>
    <n v="22"/>
    <x v="11"/>
  </r>
  <r>
    <x v="1162"/>
    <x v="19"/>
    <x v="4"/>
    <x v="3"/>
    <n v="20"/>
    <n v="150"/>
    <n v="3000"/>
    <n v="0.1"/>
    <n v="300"/>
    <x v="0"/>
  </r>
  <r>
    <x v="1163"/>
    <x v="19"/>
    <x v="4"/>
    <x v="2"/>
    <n v="11"/>
    <n v="150"/>
    <n v="1650"/>
    <n v="0.11"/>
    <n v="181.5"/>
    <x v="1"/>
  </r>
  <r>
    <x v="1164"/>
    <x v="19"/>
    <x v="0"/>
    <x v="3"/>
    <n v="2"/>
    <n v="80"/>
    <n v="160"/>
    <n v="0.08"/>
    <n v="12.8"/>
    <x v="2"/>
  </r>
  <r>
    <x v="1165"/>
    <x v="19"/>
    <x v="4"/>
    <x v="1"/>
    <n v="16"/>
    <n v="150"/>
    <n v="2400"/>
    <n v="0.08"/>
    <n v="192"/>
    <x v="3"/>
  </r>
  <r>
    <x v="1166"/>
    <x v="19"/>
    <x v="3"/>
    <x v="0"/>
    <n v="20"/>
    <n v="16"/>
    <n v="320"/>
    <n v="0.11"/>
    <n v="35.200000000000003"/>
    <x v="4"/>
  </r>
  <r>
    <x v="1167"/>
    <x v="19"/>
    <x v="2"/>
    <x v="2"/>
    <n v="2"/>
    <n v="230"/>
    <n v="460"/>
    <n v="0.09"/>
    <n v="41.4"/>
    <x v="5"/>
  </r>
  <r>
    <x v="1168"/>
    <x v="19"/>
    <x v="4"/>
    <x v="0"/>
    <n v="20"/>
    <n v="150"/>
    <n v="3000"/>
    <n v="0.04"/>
    <n v="120"/>
    <x v="1"/>
  </r>
  <r>
    <x v="1169"/>
    <x v="19"/>
    <x v="4"/>
    <x v="0"/>
    <n v="22"/>
    <n v="150"/>
    <n v="3300"/>
    <n v="7.0000000000000007E-2"/>
    <n v="231.00000000000003"/>
    <x v="2"/>
  </r>
  <r>
    <x v="1170"/>
    <x v="19"/>
    <x v="4"/>
    <x v="2"/>
    <n v="22"/>
    <n v="150"/>
    <n v="3300"/>
    <n v="0.04"/>
    <n v="132"/>
    <x v="3"/>
  </r>
  <r>
    <x v="1171"/>
    <x v="19"/>
    <x v="1"/>
    <x v="0"/>
    <n v="23"/>
    <n v="40"/>
    <n v="920"/>
    <n v="7.0000000000000007E-2"/>
    <n v="64.400000000000006"/>
    <x v="4"/>
  </r>
  <r>
    <x v="1172"/>
    <x v="20"/>
    <x v="3"/>
    <x v="2"/>
    <n v="11"/>
    <n v="16"/>
    <n v="176"/>
    <n v="0.04"/>
    <n v="7.04"/>
    <x v="5"/>
  </r>
  <r>
    <x v="1173"/>
    <x v="20"/>
    <x v="2"/>
    <x v="1"/>
    <n v="11"/>
    <n v="230"/>
    <n v="2530"/>
    <n v="0.1"/>
    <n v="253"/>
    <x v="6"/>
  </r>
  <r>
    <x v="1174"/>
    <x v="20"/>
    <x v="2"/>
    <x v="0"/>
    <n v="7"/>
    <n v="230"/>
    <n v="1610"/>
    <n v="0.08"/>
    <n v="128.80000000000001"/>
    <x v="7"/>
  </r>
  <r>
    <x v="1175"/>
    <x v="20"/>
    <x v="2"/>
    <x v="3"/>
    <n v="16"/>
    <n v="230"/>
    <n v="3680"/>
    <n v="0.11"/>
    <n v="404.8"/>
    <x v="9"/>
  </r>
  <r>
    <x v="1176"/>
    <x v="20"/>
    <x v="2"/>
    <x v="4"/>
    <n v="20"/>
    <n v="230"/>
    <n v="4600"/>
    <n v="0.09"/>
    <n v="414"/>
    <x v="10"/>
  </r>
  <r>
    <x v="1177"/>
    <x v="20"/>
    <x v="1"/>
    <x v="2"/>
    <n v="20"/>
    <n v="40"/>
    <n v="800"/>
    <n v="0.01"/>
    <n v="8"/>
    <x v="11"/>
  </r>
  <r>
    <x v="1178"/>
    <x v="20"/>
    <x v="0"/>
    <x v="0"/>
    <n v="20"/>
    <n v="80"/>
    <n v="1600"/>
    <n v="0.01"/>
    <n v="16"/>
    <x v="0"/>
  </r>
  <r>
    <x v="1179"/>
    <x v="20"/>
    <x v="4"/>
    <x v="0"/>
    <n v="5"/>
    <n v="150"/>
    <n v="750"/>
    <n v="0.11"/>
    <n v="82.5"/>
    <x v="1"/>
  </r>
  <r>
    <x v="1180"/>
    <x v="21"/>
    <x v="1"/>
    <x v="2"/>
    <n v="4"/>
    <n v="40"/>
    <n v="160"/>
    <n v="0.11"/>
    <n v="17.600000000000001"/>
    <x v="2"/>
  </r>
  <r>
    <x v="1181"/>
    <x v="21"/>
    <x v="3"/>
    <x v="0"/>
    <n v="7"/>
    <n v="16"/>
    <n v="112"/>
    <n v="0.12"/>
    <n v="13.44"/>
    <x v="3"/>
  </r>
  <r>
    <x v="1182"/>
    <x v="21"/>
    <x v="3"/>
    <x v="1"/>
    <n v="22"/>
    <n v="16"/>
    <n v="352"/>
    <n v="0.01"/>
    <n v="3.52"/>
    <x v="4"/>
  </r>
  <r>
    <x v="1183"/>
    <x v="21"/>
    <x v="1"/>
    <x v="3"/>
    <n v="15"/>
    <n v="40"/>
    <n v="600"/>
    <n v="0.03"/>
    <n v="18"/>
    <x v="5"/>
  </r>
  <r>
    <x v="1184"/>
    <x v="21"/>
    <x v="0"/>
    <x v="1"/>
    <n v="14"/>
    <n v="80"/>
    <n v="1120"/>
    <n v="0.11"/>
    <n v="123.2"/>
    <x v="1"/>
  </r>
  <r>
    <x v="1185"/>
    <x v="21"/>
    <x v="3"/>
    <x v="1"/>
    <n v="15"/>
    <n v="16"/>
    <n v="240"/>
    <n v="0.02"/>
    <n v="4.8"/>
    <x v="2"/>
  </r>
  <r>
    <x v="1186"/>
    <x v="22"/>
    <x v="0"/>
    <x v="3"/>
    <n v="19"/>
    <n v="80"/>
    <n v="1520"/>
    <n v="0.02"/>
    <n v="30.400000000000002"/>
    <x v="3"/>
  </r>
  <r>
    <x v="1187"/>
    <x v="22"/>
    <x v="1"/>
    <x v="4"/>
    <n v="20"/>
    <n v="40"/>
    <n v="800"/>
    <n v="0.05"/>
    <n v="40"/>
    <x v="4"/>
  </r>
  <r>
    <x v="1188"/>
    <x v="22"/>
    <x v="1"/>
    <x v="3"/>
    <n v="11"/>
    <n v="40"/>
    <n v="440"/>
    <n v="0.06"/>
    <n v="26.4"/>
    <x v="5"/>
  </r>
  <r>
    <x v="1189"/>
    <x v="22"/>
    <x v="4"/>
    <x v="2"/>
    <n v="11"/>
    <n v="150"/>
    <n v="1650"/>
    <n v="0.05"/>
    <n v="82.5"/>
    <x v="6"/>
  </r>
  <r>
    <x v="1190"/>
    <x v="22"/>
    <x v="0"/>
    <x v="3"/>
    <n v="23"/>
    <n v="80"/>
    <n v="1840"/>
    <n v="0.11"/>
    <n v="202.4"/>
    <x v="7"/>
  </r>
  <r>
    <x v="1191"/>
    <x v="22"/>
    <x v="0"/>
    <x v="0"/>
    <n v="8"/>
    <n v="80"/>
    <n v="640"/>
    <n v="0.09"/>
    <n v="57.599999999999994"/>
    <x v="8"/>
  </r>
  <r>
    <x v="1192"/>
    <x v="22"/>
    <x v="1"/>
    <x v="3"/>
    <n v="9"/>
    <n v="40"/>
    <n v="360"/>
    <n v="0.06"/>
    <n v="21.599999999999998"/>
    <x v="9"/>
  </r>
  <r>
    <x v="1193"/>
    <x v="22"/>
    <x v="2"/>
    <x v="4"/>
    <n v="13"/>
    <n v="230"/>
    <n v="2990"/>
    <n v="0.06"/>
    <n v="179.4"/>
    <x v="10"/>
  </r>
  <r>
    <x v="1194"/>
    <x v="22"/>
    <x v="1"/>
    <x v="3"/>
    <n v="22"/>
    <n v="40"/>
    <n v="880"/>
    <n v="0.01"/>
    <n v="8.8000000000000007"/>
    <x v="11"/>
  </r>
  <r>
    <x v="1195"/>
    <x v="22"/>
    <x v="3"/>
    <x v="4"/>
    <n v="14"/>
    <n v="16"/>
    <n v="224"/>
    <n v="0.06"/>
    <n v="13.44"/>
    <x v="0"/>
  </r>
  <r>
    <x v="1196"/>
    <x v="23"/>
    <x v="0"/>
    <x v="1"/>
    <n v="5"/>
    <n v="80"/>
    <n v="400"/>
    <n v="0.04"/>
    <n v="16"/>
    <x v="1"/>
  </r>
  <r>
    <x v="1197"/>
    <x v="23"/>
    <x v="4"/>
    <x v="4"/>
    <n v="18"/>
    <n v="150"/>
    <n v="2700"/>
    <n v="0.12"/>
    <n v="324"/>
    <x v="2"/>
  </r>
  <r>
    <x v="1198"/>
    <x v="23"/>
    <x v="2"/>
    <x v="2"/>
    <n v="14"/>
    <n v="230"/>
    <n v="3220"/>
    <n v="0.12"/>
    <n v="386.4"/>
    <x v="3"/>
  </r>
  <r>
    <x v="1199"/>
    <x v="23"/>
    <x v="2"/>
    <x v="4"/>
    <n v="20"/>
    <n v="230"/>
    <n v="4600"/>
    <n v="0.11"/>
    <n v="506"/>
    <x v="4"/>
  </r>
  <r>
    <x v="1200"/>
    <x v="23"/>
    <x v="3"/>
    <x v="4"/>
    <n v="3"/>
    <n v="16"/>
    <n v="48"/>
    <n v="0.03"/>
    <n v="1.44"/>
    <x v="5"/>
  </r>
  <r>
    <x v="1201"/>
    <x v="23"/>
    <x v="2"/>
    <x v="2"/>
    <n v="20"/>
    <n v="230"/>
    <n v="4600"/>
    <n v="0.06"/>
    <n v="276"/>
    <x v="1"/>
  </r>
  <r>
    <x v="1202"/>
    <x v="23"/>
    <x v="0"/>
    <x v="4"/>
    <n v="9"/>
    <n v="80"/>
    <n v="720"/>
    <n v="0.02"/>
    <n v="14.4"/>
    <x v="2"/>
  </r>
  <r>
    <x v="1203"/>
    <x v="23"/>
    <x v="3"/>
    <x v="3"/>
    <n v="22"/>
    <n v="16"/>
    <n v="352"/>
    <n v="0.03"/>
    <n v="10.559999999999999"/>
    <x v="3"/>
  </r>
  <r>
    <x v="1204"/>
    <x v="23"/>
    <x v="0"/>
    <x v="1"/>
    <n v="15"/>
    <n v="80"/>
    <n v="1200"/>
    <n v="0.12"/>
    <n v="144"/>
    <x v="4"/>
  </r>
  <r>
    <x v="1205"/>
    <x v="23"/>
    <x v="4"/>
    <x v="0"/>
    <n v="11"/>
    <n v="150"/>
    <n v="1650"/>
    <n v="0.05"/>
    <n v="82.5"/>
    <x v="5"/>
  </r>
  <r>
    <x v="1206"/>
    <x v="23"/>
    <x v="2"/>
    <x v="3"/>
    <n v="11"/>
    <n v="230"/>
    <n v="2530"/>
    <n v="0.12"/>
    <n v="303.59999999999997"/>
    <x v="6"/>
  </r>
  <r>
    <x v="1207"/>
    <x v="23"/>
    <x v="4"/>
    <x v="0"/>
    <n v="20"/>
    <n v="150"/>
    <n v="3000"/>
    <n v="0.01"/>
    <n v="30"/>
    <x v="7"/>
  </r>
  <r>
    <x v="1208"/>
    <x v="23"/>
    <x v="1"/>
    <x v="2"/>
    <n v="11"/>
    <n v="40"/>
    <n v="440"/>
    <n v="0.12"/>
    <n v="52.8"/>
    <x v="8"/>
  </r>
  <r>
    <x v="1209"/>
    <x v="24"/>
    <x v="2"/>
    <x v="2"/>
    <n v="12"/>
    <n v="230"/>
    <n v="2760"/>
    <n v="0.06"/>
    <n v="165.6"/>
    <x v="9"/>
  </r>
  <r>
    <x v="1210"/>
    <x v="24"/>
    <x v="1"/>
    <x v="0"/>
    <n v="15"/>
    <n v="40"/>
    <n v="600"/>
    <n v="0.06"/>
    <n v="36"/>
    <x v="10"/>
  </r>
  <r>
    <x v="1211"/>
    <x v="24"/>
    <x v="1"/>
    <x v="3"/>
    <n v="13"/>
    <n v="40"/>
    <n v="520"/>
    <n v="0.09"/>
    <n v="46.8"/>
    <x v="11"/>
  </r>
  <r>
    <x v="1212"/>
    <x v="24"/>
    <x v="1"/>
    <x v="4"/>
    <n v="4"/>
    <n v="40"/>
    <n v="160"/>
    <n v="0.09"/>
    <n v="14.399999999999999"/>
    <x v="0"/>
  </r>
  <r>
    <x v="1213"/>
    <x v="24"/>
    <x v="2"/>
    <x v="3"/>
    <n v="18"/>
    <n v="230"/>
    <n v="4140"/>
    <n v="0.01"/>
    <n v="41.4"/>
    <x v="1"/>
  </r>
  <r>
    <x v="1214"/>
    <x v="24"/>
    <x v="3"/>
    <x v="0"/>
    <n v="7"/>
    <n v="16"/>
    <n v="112"/>
    <n v="0.02"/>
    <n v="2.2400000000000002"/>
    <x v="2"/>
  </r>
  <r>
    <x v="1215"/>
    <x v="24"/>
    <x v="3"/>
    <x v="2"/>
    <n v="6"/>
    <n v="16"/>
    <n v="96"/>
    <n v="7.0000000000000007E-2"/>
    <n v="6.7200000000000006"/>
    <x v="3"/>
  </r>
  <r>
    <x v="1216"/>
    <x v="24"/>
    <x v="2"/>
    <x v="3"/>
    <n v="8"/>
    <n v="230"/>
    <n v="1840"/>
    <n v="0.05"/>
    <n v="92"/>
    <x v="4"/>
  </r>
  <r>
    <x v="1217"/>
    <x v="24"/>
    <x v="3"/>
    <x v="2"/>
    <n v="12"/>
    <n v="16"/>
    <n v="192"/>
    <n v="0.11"/>
    <n v="21.12"/>
    <x v="5"/>
  </r>
  <r>
    <x v="1218"/>
    <x v="24"/>
    <x v="2"/>
    <x v="0"/>
    <n v="11"/>
    <n v="230"/>
    <n v="2530"/>
    <n v="0.02"/>
    <n v="50.6"/>
    <x v="1"/>
  </r>
  <r>
    <x v="1219"/>
    <x v="24"/>
    <x v="3"/>
    <x v="2"/>
    <n v="3"/>
    <n v="16"/>
    <n v="48"/>
    <n v="0.05"/>
    <n v="2.4000000000000004"/>
    <x v="2"/>
  </r>
  <r>
    <x v="1220"/>
    <x v="25"/>
    <x v="4"/>
    <x v="1"/>
    <n v="16"/>
    <n v="150"/>
    <n v="2400"/>
    <n v="0.05"/>
    <n v="120"/>
    <x v="3"/>
  </r>
  <r>
    <x v="1221"/>
    <x v="25"/>
    <x v="2"/>
    <x v="3"/>
    <n v="8"/>
    <n v="230"/>
    <n v="1840"/>
    <n v="0.01"/>
    <n v="18.400000000000002"/>
    <x v="4"/>
  </r>
  <r>
    <x v="1222"/>
    <x v="25"/>
    <x v="0"/>
    <x v="2"/>
    <n v="16"/>
    <n v="80"/>
    <n v="1280"/>
    <n v="0.04"/>
    <n v="51.2"/>
    <x v="5"/>
  </r>
  <r>
    <x v="1223"/>
    <x v="25"/>
    <x v="3"/>
    <x v="3"/>
    <n v="18"/>
    <n v="16"/>
    <n v="288"/>
    <n v="0.04"/>
    <n v="11.52"/>
    <x v="6"/>
  </r>
  <r>
    <x v="1224"/>
    <x v="25"/>
    <x v="1"/>
    <x v="4"/>
    <n v="14"/>
    <n v="40"/>
    <n v="560"/>
    <n v="0.11"/>
    <n v="61.6"/>
    <x v="7"/>
  </r>
  <r>
    <x v="1225"/>
    <x v="25"/>
    <x v="3"/>
    <x v="1"/>
    <n v="21"/>
    <n v="16"/>
    <n v="336"/>
    <n v="0.02"/>
    <n v="6.72"/>
    <x v="8"/>
  </r>
  <r>
    <x v="1226"/>
    <x v="25"/>
    <x v="3"/>
    <x v="1"/>
    <n v="7"/>
    <n v="16"/>
    <n v="112"/>
    <n v="0.08"/>
    <n v="8.9600000000000009"/>
    <x v="9"/>
  </r>
  <r>
    <x v="1227"/>
    <x v="25"/>
    <x v="0"/>
    <x v="2"/>
    <n v="7"/>
    <n v="80"/>
    <n v="560"/>
    <n v="0.05"/>
    <n v="28"/>
    <x v="10"/>
  </r>
  <r>
    <x v="1228"/>
    <x v="25"/>
    <x v="1"/>
    <x v="4"/>
    <n v="16"/>
    <n v="40"/>
    <n v="640"/>
    <n v="0.09"/>
    <n v="57.599999999999994"/>
    <x v="11"/>
  </r>
  <r>
    <x v="1229"/>
    <x v="25"/>
    <x v="2"/>
    <x v="4"/>
    <n v="22"/>
    <n v="230"/>
    <n v="5060"/>
    <n v="0.1"/>
    <n v="506"/>
    <x v="0"/>
  </r>
  <r>
    <x v="1230"/>
    <x v="25"/>
    <x v="1"/>
    <x v="1"/>
    <n v="4"/>
    <n v="40"/>
    <n v="160"/>
    <n v="0.03"/>
    <n v="4.8"/>
    <x v="1"/>
  </r>
  <r>
    <x v="1231"/>
    <x v="25"/>
    <x v="2"/>
    <x v="4"/>
    <n v="3"/>
    <n v="230"/>
    <n v="690"/>
    <n v="0.1"/>
    <n v="69"/>
    <x v="2"/>
  </r>
  <r>
    <x v="1232"/>
    <x v="25"/>
    <x v="0"/>
    <x v="1"/>
    <n v="14"/>
    <n v="80"/>
    <n v="1120"/>
    <n v="0.11"/>
    <n v="123.2"/>
    <x v="3"/>
  </r>
  <r>
    <x v="1233"/>
    <x v="26"/>
    <x v="1"/>
    <x v="4"/>
    <n v="21"/>
    <n v="40"/>
    <n v="840"/>
    <n v="0.01"/>
    <n v="8.4"/>
    <x v="4"/>
  </r>
  <r>
    <x v="1234"/>
    <x v="26"/>
    <x v="3"/>
    <x v="1"/>
    <n v="20"/>
    <n v="16"/>
    <n v="320"/>
    <n v="0.06"/>
    <n v="19.2"/>
    <x v="5"/>
  </r>
  <r>
    <x v="1235"/>
    <x v="26"/>
    <x v="0"/>
    <x v="4"/>
    <n v="22"/>
    <n v="80"/>
    <n v="1760"/>
    <n v="0.11"/>
    <n v="193.6"/>
    <x v="1"/>
  </r>
  <r>
    <x v="1236"/>
    <x v="26"/>
    <x v="1"/>
    <x v="0"/>
    <n v="7"/>
    <n v="40"/>
    <n v="280"/>
    <n v="0.1"/>
    <n v="28"/>
    <x v="2"/>
  </r>
  <r>
    <x v="1237"/>
    <x v="26"/>
    <x v="4"/>
    <x v="1"/>
    <n v="16"/>
    <n v="150"/>
    <n v="2400"/>
    <n v="0.05"/>
    <n v="120"/>
    <x v="3"/>
  </r>
  <r>
    <x v="1238"/>
    <x v="26"/>
    <x v="2"/>
    <x v="1"/>
    <n v="7"/>
    <n v="230"/>
    <n v="1610"/>
    <n v="0.05"/>
    <n v="80.5"/>
    <x v="4"/>
  </r>
  <r>
    <x v="1239"/>
    <x v="26"/>
    <x v="4"/>
    <x v="0"/>
    <n v="20"/>
    <n v="150"/>
    <n v="3000"/>
    <n v="0.03"/>
    <n v="90"/>
    <x v="5"/>
  </r>
  <r>
    <x v="1240"/>
    <x v="26"/>
    <x v="4"/>
    <x v="1"/>
    <n v="16"/>
    <n v="150"/>
    <n v="2400"/>
    <n v="0.03"/>
    <n v="72"/>
    <x v="6"/>
  </r>
  <r>
    <x v="1241"/>
    <x v="26"/>
    <x v="3"/>
    <x v="3"/>
    <n v="10"/>
    <n v="16"/>
    <n v="160"/>
    <n v="0.04"/>
    <n v="6.4"/>
    <x v="7"/>
  </r>
  <r>
    <x v="1242"/>
    <x v="26"/>
    <x v="0"/>
    <x v="4"/>
    <n v="6"/>
    <n v="80"/>
    <n v="480"/>
    <n v="0.09"/>
    <n v="43.199999999999996"/>
    <x v="8"/>
  </r>
  <r>
    <x v="1243"/>
    <x v="26"/>
    <x v="0"/>
    <x v="0"/>
    <n v="17"/>
    <n v="80"/>
    <n v="1360"/>
    <n v="0.09"/>
    <n v="122.39999999999999"/>
    <x v="9"/>
  </r>
  <r>
    <x v="1244"/>
    <x v="26"/>
    <x v="1"/>
    <x v="0"/>
    <n v="19"/>
    <n v="40"/>
    <n v="760"/>
    <n v="0.04"/>
    <n v="30.400000000000002"/>
    <x v="10"/>
  </r>
  <r>
    <x v="1245"/>
    <x v="26"/>
    <x v="1"/>
    <x v="4"/>
    <n v="16"/>
    <n v="40"/>
    <n v="640"/>
    <n v="0.09"/>
    <n v="57.599999999999994"/>
    <x v="11"/>
  </r>
  <r>
    <x v="1246"/>
    <x v="26"/>
    <x v="3"/>
    <x v="0"/>
    <n v="4"/>
    <n v="16"/>
    <n v="64"/>
    <n v="0.12"/>
    <n v="7.68"/>
    <x v="0"/>
  </r>
  <r>
    <x v="1247"/>
    <x v="26"/>
    <x v="4"/>
    <x v="3"/>
    <n v="9"/>
    <n v="150"/>
    <n v="1350"/>
    <n v="0.02"/>
    <n v="27"/>
    <x v="1"/>
  </r>
  <r>
    <x v="1248"/>
    <x v="26"/>
    <x v="3"/>
    <x v="0"/>
    <n v="11"/>
    <n v="16"/>
    <n v="176"/>
    <n v="0.09"/>
    <n v="15.84"/>
    <x v="2"/>
  </r>
  <r>
    <x v="1249"/>
    <x v="26"/>
    <x v="0"/>
    <x v="1"/>
    <n v="17"/>
    <n v="80"/>
    <n v="1360"/>
    <n v="0.03"/>
    <n v="40.799999999999997"/>
    <x v="3"/>
  </r>
  <r>
    <x v="1250"/>
    <x v="27"/>
    <x v="4"/>
    <x v="0"/>
    <n v="3"/>
    <n v="150"/>
    <n v="450"/>
    <n v="0.03"/>
    <n v="13.5"/>
    <x v="4"/>
  </r>
  <r>
    <x v="1251"/>
    <x v="27"/>
    <x v="2"/>
    <x v="3"/>
    <n v="2"/>
    <n v="230"/>
    <n v="460"/>
    <n v="0.08"/>
    <n v="36.800000000000004"/>
    <x v="5"/>
  </r>
  <r>
    <x v="1252"/>
    <x v="27"/>
    <x v="2"/>
    <x v="3"/>
    <n v="17"/>
    <n v="230"/>
    <n v="3910"/>
    <n v="0.12"/>
    <n v="469.2"/>
    <x v="1"/>
  </r>
  <r>
    <x v="1253"/>
    <x v="27"/>
    <x v="4"/>
    <x v="1"/>
    <n v="2"/>
    <n v="150"/>
    <n v="300"/>
    <n v="0.09"/>
    <n v="27"/>
    <x v="2"/>
  </r>
  <r>
    <x v="1254"/>
    <x v="27"/>
    <x v="1"/>
    <x v="3"/>
    <n v="18"/>
    <n v="40"/>
    <n v="720"/>
    <n v="0.06"/>
    <n v="43.199999999999996"/>
    <x v="3"/>
  </r>
  <r>
    <x v="1255"/>
    <x v="27"/>
    <x v="4"/>
    <x v="2"/>
    <n v="18"/>
    <n v="150"/>
    <n v="2700"/>
    <n v="0.06"/>
    <n v="162"/>
    <x v="4"/>
  </r>
  <r>
    <x v="1256"/>
    <x v="27"/>
    <x v="1"/>
    <x v="1"/>
    <n v="12"/>
    <n v="40"/>
    <n v="480"/>
    <n v="0.1"/>
    <n v="48"/>
    <x v="5"/>
  </r>
  <r>
    <x v="1257"/>
    <x v="27"/>
    <x v="0"/>
    <x v="0"/>
    <n v="21"/>
    <n v="80"/>
    <n v="1680"/>
    <n v="0.04"/>
    <n v="67.2"/>
    <x v="6"/>
  </r>
  <r>
    <x v="1258"/>
    <x v="27"/>
    <x v="1"/>
    <x v="4"/>
    <n v="3"/>
    <n v="40"/>
    <n v="120"/>
    <n v="0.03"/>
    <n v="3.5999999999999996"/>
    <x v="7"/>
  </r>
  <r>
    <x v="1259"/>
    <x v="27"/>
    <x v="0"/>
    <x v="4"/>
    <n v="22"/>
    <n v="80"/>
    <n v="1760"/>
    <n v="0.1"/>
    <n v="176"/>
    <x v="8"/>
  </r>
  <r>
    <x v="1260"/>
    <x v="27"/>
    <x v="1"/>
    <x v="4"/>
    <n v="16"/>
    <n v="40"/>
    <n v="640"/>
    <n v="0.11"/>
    <n v="70.400000000000006"/>
    <x v="9"/>
  </r>
  <r>
    <x v="1261"/>
    <x v="27"/>
    <x v="3"/>
    <x v="0"/>
    <n v="11"/>
    <n v="16"/>
    <n v="176"/>
    <n v="0.09"/>
    <n v="15.84"/>
    <x v="10"/>
  </r>
  <r>
    <x v="1262"/>
    <x v="28"/>
    <x v="0"/>
    <x v="2"/>
    <n v="10"/>
    <n v="80"/>
    <n v="800"/>
    <n v="0.08"/>
    <n v="64"/>
    <x v="11"/>
  </r>
  <r>
    <x v="1263"/>
    <x v="28"/>
    <x v="3"/>
    <x v="2"/>
    <n v="12"/>
    <n v="16"/>
    <n v="192"/>
    <n v="0.03"/>
    <n v="5.76"/>
    <x v="0"/>
  </r>
  <r>
    <x v="1264"/>
    <x v="28"/>
    <x v="4"/>
    <x v="0"/>
    <n v="8"/>
    <n v="150"/>
    <n v="1200"/>
    <n v="0.09"/>
    <n v="108"/>
    <x v="1"/>
  </r>
  <r>
    <x v="1265"/>
    <x v="28"/>
    <x v="1"/>
    <x v="4"/>
    <n v="10"/>
    <n v="40"/>
    <n v="400"/>
    <n v="0.03"/>
    <n v="12"/>
    <x v="2"/>
  </r>
  <r>
    <x v="1266"/>
    <x v="28"/>
    <x v="4"/>
    <x v="0"/>
    <n v="7"/>
    <n v="150"/>
    <n v="1050"/>
    <n v="0.02"/>
    <n v="21"/>
    <x v="3"/>
  </r>
  <r>
    <x v="1267"/>
    <x v="28"/>
    <x v="3"/>
    <x v="2"/>
    <n v="6"/>
    <n v="16"/>
    <n v="96"/>
    <n v="0.01"/>
    <n v="0.96"/>
    <x v="4"/>
  </r>
  <r>
    <x v="1268"/>
    <x v="28"/>
    <x v="0"/>
    <x v="3"/>
    <n v="15"/>
    <n v="80"/>
    <n v="1200"/>
    <n v="0.08"/>
    <n v="96"/>
    <x v="5"/>
  </r>
  <r>
    <x v="1269"/>
    <x v="28"/>
    <x v="3"/>
    <x v="4"/>
    <n v="13"/>
    <n v="16"/>
    <n v="208"/>
    <n v="7.0000000000000007E-2"/>
    <n v="14.560000000000002"/>
    <x v="1"/>
  </r>
  <r>
    <x v="1270"/>
    <x v="28"/>
    <x v="2"/>
    <x v="3"/>
    <n v="19"/>
    <n v="230"/>
    <n v="4370"/>
    <n v="0.06"/>
    <n v="262.2"/>
    <x v="2"/>
  </r>
  <r>
    <x v="1271"/>
    <x v="28"/>
    <x v="0"/>
    <x v="3"/>
    <n v="21"/>
    <n v="80"/>
    <n v="1680"/>
    <n v="0.05"/>
    <n v="84"/>
    <x v="3"/>
  </r>
  <r>
    <x v="1272"/>
    <x v="28"/>
    <x v="0"/>
    <x v="1"/>
    <n v="5"/>
    <n v="80"/>
    <n v="400"/>
    <n v="7.0000000000000007E-2"/>
    <n v="28.000000000000004"/>
    <x v="4"/>
  </r>
  <r>
    <x v="1273"/>
    <x v="28"/>
    <x v="3"/>
    <x v="2"/>
    <n v="8"/>
    <n v="16"/>
    <n v="128"/>
    <n v="0.03"/>
    <n v="3.84"/>
    <x v="5"/>
  </r>
  <r>
    <x v="1274"/>
    <x v="28"/>
    <x v="3"/>
    <x v="2"/>
    <n v="12"/>
    <n v="16"/>
    <n v="192"/>
    <n v="0.11"/>
    <n v="21.12"/>
    <x v="6"/>
  </r>
  <r>
    <x v="1275"/>
    <x v="28"/>
    <x v="0"/>
    <x v="3"/>
    <n v="22"/>
    <n v="80"/>
    <n v="1760"/>
    <n v="0.03"/>
    <n v="52.8"/>
    <x v="7"/>
  </r>
  <r>
    <x v="1276"/>
    <x v="28"/>
    <x v="1"/>
    <x v="0"/>
    <n v="5"/>
    <n v="40"/>
    <n v="200"/>
    <n v="0.09"/>
    <n v="18"/>
    <x v="8"/>
  </r>
  <r>
    <x v="1277"/>
    <x v="29"/>
    <x v="4"/>
    <x v="1"/>
    <n v="23"/>
    <n v="150"/>
    <n v="3450"/>
    <n v="0.11"/>
    <n v="379.5"/>
    <x v="9"/>
  </r>
  <r>
    <x v="1278"/>
    <x v="29"/>
    <x v="0"/>
    <x v="0"/>
    <n v="16"/>
    <n v="80"/>
    <n v="1280"/>
    <n v="0.03"/>
    <n v="38.4"/>
    <x v="10"/>
  </r>
  <r>
    <x v="1279"/>
    <x v="29"/>
    <x v="4"/>
    <x v="4"/>
    <n v="15"/>
    <n v="150"/>
    <n v="2250"/>
    <n v="7.0000000000000007E-2"/>
    <n v="157.50000000000003"/>
    <x v="11"/>
  </r>
  <r>
    <x v="1280"/>
    <x v="29"/>
    <x v="1"/>
    <x v="0"/>
    <n v="20"/>
    <n v="40"/>
    <n v="800"/>
    <n v="0.04"/>
    <n v="32"/>
    <x v="0"/>
  </r>
  <r>
    <x v="1281"/>
    <x v="29"/>
    <x v="2"/>
    <x v="2"/>
    <n v="10"/>
    <n v="230"/>
    <n v="2300"/>
    <n v="0.02"/>
    <n v="46"/>
    <x v="1"/>
  </r>
  <r>
    <x v="1282"/>
    <x v="29"/>
    <x v="0"/>
    <x v="1"/>
    <n v="9"/>
    <n v="80"/>
    <n v="720"/>
    <n v="0.03"/>
    <n v="21.599999999999998"/>
    <x v="2"/>
  </r>
  <r>
    <x v="1283"/>
    <x v="29"/>
    <x v="2"/>
    <x v="0"/>
    <n v="16"/>
    <n v="230"/>
    <n v="3680"/>
    <n v="7.0000000000000007E-2"/>
    <n v="257.60000000000002"/>
    <x v="3"/>
  </r>
  <r>
    <x v="1284"/>
    <x v="29"/>
    <x v="0"/>
    <x v="1"/>
    <n v="21"/>
    <n v="80"/>
    <n v="1680"/>
    <n v="0.04"/>
    <n v="67.2"/>
    <x v="4"/>
  </r>
  <r>
    <x v="1285"/>
    <x v="29"/>
    <x v="0"/>
    <x v="1"/>
    <n v="9"/>
    <n v="80"/>
    <n v="720"/>
    <n v="0.03"/>
    <n v="21.599999999999998"/>
    <x v="5"/>
  </r>
  <r>
    <x v="1286"/>
    <x v="29"/>
    <x v="1"/>
    <x v="1"/>
    <n v="4"/>
    <n v="40"/>
    <n v="160"/>
    <n v="0.12"/>
    <n v="19.2"/>
    <x v="1"/>
  </r>
  <r>
    <x v="1287"/>
    <x v="29"/>
    <x v="2"/>
    <x v="2"/>
    <n v="5"/>
    <n v="230"/>
    <n v="1150"/>
    <n v="0.01"/>
    <n v="11.5"/>
    <x v="2"/>
  </r>
  <r>
    <x v="1288"/>
    <x v="29"/>
    <x v="3"/>
    <x v="0"/>
    <n v="18"/>
    <n v="16"/>
    <n v="288"/>
    <n v="0.05"/>
    <n v="14.4"/>
    <x v="3"/>
  </r>
  <r>
    <x v="1289"/>
    <x v="30"/>
    <x v="0"/>
    <x v="2"/>
    <n v="6"/>
    <n v="80"/>
    <n v="480"/>
    <n v="0.01"/>
    <n v="4.8"/>
    <x v="4"/>
  </r>
  <r>
    <x v="1290"/>
    <x v="30"/>
    <x v="4"/>
    <x v="4"/>
    <n v="4"/>
    <n v="150"/>
    <n v="600"/>
    <n v="0.05"/>
    <n v="30"/>
    <x v="5"/>
  </r>
  <r>
    <x v="1291"/>
    <x v="30"/>
    <x v="2"/>
    <x v="4"/>
    <n v="21"/>
    <n v="230"/>
    <n v="4830"/>
    <n v="0.05"/>
    <n v="241.5"/>
    <x v="6"/>
  </r>
  <r>
    <x v="1292"/>
    <x v="30"/>
    <x v="4"/>
    <x v="0"/>
    <n v="4"/>
    <n v="150"/>
    <n v="600"/>
    <n v="0.06"/>
    <n v="36"/>
    <x v="7"/>
  </r>
  <r>
    <x v="1293"/>
    <x v="30"/>
    <x v="0"/>
    <x v="1"/>
    <n v="2"/>
    <n v="80"/>
    <n v="160"/>
    <n v="0.04"/>
    <n v="6.4"/>
    <x v="8"/>
  </r>
  <r>
    <x v="1294"/>
    <x v="30"/>
    <x v="3"/>
    <x v="1"/>
    <n v="5"/>
    <n v="16"/>
    <n v="80"/>
    <n v="0.11"/>
    <n v="8.8000000000000007"/>
    <x v="9"/>
  </r>
  <r>
    <x v="1295"/>
    <x v="30"/>
    <x v="4"/>
    <x v="4"/>
    <n v="23"/>
    <n v="150"/>
    <n v="3450"/>
    <n v="0.08"/>
    <n v="276"/>
    <x v="10"/>
  </r>
  <r>
    <x v="1296"/>
    <x v="30"/>
    <x v="0"/>
    <x v="1"/>
    <n v="3"/>
    <n v="80"/>
    <n v="240"/>
    <n v="0.02"/>
    <n v="4.8"/>
    <x v="11"/>
  </r>
  <r>
    <x v="1297"/>
    <x v="30"/>
    <x v="2"/>
    <x v="4"/>
    <n v="17"/>
    <n v="230"/>
    <n v="3910"/>
    <n v="0.11"/>
    <n v="430.1"/>
    <x v="0"/>
  </r>
  <r>
    <x v="1298"/>
    <x v="30"/>
    <x v="1"/>
    <x v="2"/>
    <n v="11"/>
    <n v="40"/>
    <n v="440"/>
    <n v="0.05"/>
    <n v="22"/>
    <x v="1"/>
  </r>
  <r>
    <x v="1299"/>
    <x v="30"/>
    <x v="1"/>
    <x v="2"/>
    <n v="13"/>
    <n v="40"/>
    <n v="520"/>
    <n v="0.02"/>
    <n v="10.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8030DE-8B38-425D-B22B-19E8F38DAE05}"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C18" firstHeaderRow="1" firstDataRow="1" firstDataCol="0"/>
  <pivotFields count="10">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dataField="1" showAll="0"/>
    <pivotField showAll="0"/>
  </pivotFields>
  <rowItems count="1">
    <i/>
  </rowItems>
  <colItems count="1">
    <i/>
  </colItems>
  <dataFields count="1">
    <dataField name="Sum of Total Commission"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BC36B5-0392-4C32-A977-BD4B711C5573}"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C12" firstHeaderRow="1" firstDataRow="1" firstDataCol="0"/>
  <pivotFields count="10">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x="0"/>
        <item x="2"/>
        <item x="1"/>
        <item x="3"/>
        <item t="default"/>
      </items>
    </pivotField>
    <pivotField showAll="0"/>
    <pivotField showAll="0"/>
    <pivotField dataField="1" showAll="0"/>
    <pivotField showAll="0"/>
    <pivotField showAll="0"/>
    <pivotField showAll="0"/>
  </pivotFields>
  <rowItems count="1">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CEDC82-4D48-4128-BAED-81925DCEEC08}"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0">
    <pivotField dataField="1" showAll="0">
      <items count="13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FEB56C-8DF4-45D6-BE85-5DE5D19C5968}"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42:D48" firstHeaderRow="1" firstDataRow="1" firstDataCol="1"/>
  <pivotFields count="10">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6">
        <item x="3"/>
        <item x="2"/>
        <item x="0"/>
        <item x="4"/>
        <item x="1"/>
        <item t="default"/>
      </items>
    </pivotField>
    <pivotField showAll="0">
      <items count="6">
        <item x="4"/>
        <item x="0"/>
        <item x="2"/>
        <item x="1"/>
        <item x="3"/>
        <item t="default"/>
      </items>
    </pivotField>
    <pivotField dataField="1"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Quantity" fld="4" baseField="0" baseItem="0"/>
  </dataFields>
  <chartFormats count="12">
    <chartFormat chart="3"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0"/>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5" format="10">
      <pivotArea type="data" outline="0" fieldPosition="0">
        <references count="2">
          <reference field="4294967294" count="1" selected="0">
            <x v="0"/>
          </reference>
          <reference field="2" count="1" selected="0">
            <x v="2"/>
          </reference>
        </references>
      </pivotArea>
    </chartFormat>
    <chartFormat chart="5" format="11">
      <pivotArea type="data" outline="0" fieldPosition="0">
        <references count="2">
          <reference field="4294967294" count="1" selected="0">
            <x v="0"/>
          </reference>
          <reference field="2" count="1" selected="0">
            <x v="3"/>
          </reference>
        </references>
      </pivotArea>
    </chartFormat>
    <chartFormat chart="5" format="12">
      <pivotArea type="data" outline="0" fieldPosition="0">
        <references count="2">
          <reference field="4294967294" count="1" selected="0">
            <x v="0"/>
          </reference>
          <reference field="2" count="1" selected="0">
            <x v="4"/>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2AA5B6-7907-4027-8261-C9B6D9E6FD89}"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5:D37" firstHeaderRow="1" firstDataRow="1" firstDataCol="1"/>
  <pivotFields count="10">
    <pivotField dataField="1" showAll="0">
      <items count="13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pivotField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Order Id" fld="0" subtotal="count"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FFB52D-2D3D-4DAE-A2BA-F00BCC703373}"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3:D96" firstHeaderRow="1" firstDataRow="1" firstDataCol="1"/>
  <pivotFields count="10">
    <pivotField dataField="1" showAll="0">
      <items count="13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pivotField axis="axisRow" showAll="0">
      <items count="13">
        <item x="5"/>
        <item x="3"/>
        <item x="6"/>
        <item x="8"/>
        <item x="10"/>
        <item x="9"/>
        <item x="7"/>
        <item x="11"/>
        <item x="2"/>
        <item x="0"/>
        <item x="1"/>
        <item x="4"/>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BABAEF-5AD0-4C27-8068-0A7F8EAC7B9D}"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2:D78" firstHeaderRow="1" firstDataRow="1" firstDataCol="1"/>
  <pivotFields count="10">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axis="axisRow" showAll="0">
      <items count="6">
        <item x="4"/>
        <item x="0"/>
        <item x="2"/>
        <item x="1"/>
        <item x="3"/>
        <item t="default"/>
      </items>
    </pivotField>
    <pivotField showAll="0"/>
    <pivotField showAll="0"/>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Total Commission"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A86609-45FC-4FDC-B2C3-B622699FBF8F}"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56:E62" firstHeaderRow="0" firstDataRow="1" firstDataCol="1"/>
  <pivotFields count="10">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axis="axisRow" showAll="0">
      <items count="6">
        <item x="4"/>
        <item x="0"/>
        <item x="2"/>
        <item x="1"/>
        <item x="3"/>
        <item t="default"/>
      </items>
    </pivotField>
    <pivotField showAll="0"/>
    <pivotField showAll="0"/>
    <pivotField dataField="1" showAll="0"/>
    <pivotField showAll="0"/>
    <pivotField dataField="1" showAll="0"/>
    <pivotField showAll="0"/>
  </pivotFields>
  <rowFields count="1">
    <field x="3"/>
  </rowFields>
  <rowItems count="6">
    <i>
      <x/>
    </i>
    <i>
      <x v="1"/>
    </i>
    <i>
      <x v="2"/>
    </i>
    <i>
      <x v="3"/>
    </i>
    <i>
      <x v="4"/>
    </i>
    <i t="grand">
      <x/>
    </i>
  </rowItems>
  <colFields count="1">
    <field x="-2"/>
  </colFields>
  <colItems count="2">
    <i>
      <x/>
    </i>
    <i i="1">
      <x v="1"/>
    </i>
  </colItems>
  <dataFields count="2">
    <dataField name="Sum of Total sales" fld="6" baseField="0" baseItem="0"/>
    <dataField name="Sum of Total Commission" fld="8"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4A7795-544F-408E-A0B8-E25C7177857E}" autoFormatId="16" applyNumberFormats="0" applyBorderFormats="0" applyFontFormats="0" applyPatternFormats="0" applyAlignmentFormats="0" applyWidthHeightFormats="0">
  <queryTableRefresh nextId="11">
    <queryTableFields count="10">
      <queryTableField id="1" name="Order Id" tableColumnId="1"/>
      <queryTableField id="2" name="Date" tableColumnId="2"/>
      <queryTableField id="3" name="Item" tableColumnId="3"/>
      <queryTableField id="4" name="Sales Rep" tableColumnId="4"/>
      <queryTableField id="5" name="Quantity" tableColumnId="5"/>
      <queryTableField id="6" name="Price" tableColumnId="6"/>
      <queryTableField id="7" name="Total sales" tableColumnId="7"/>
      <queryTableField id="8" name="Commission" tableColumnId="8"/>
      <queryTableField id="9" name="Total Commission" tableColumnId="9"/>
      <queryTableField id="10" name="Stat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7B23C75A-509E-4C57-B2C3-CEE08E147433}" sourceName="Item">
  <pivotTables>
    <pivotTable tabId="3" name="PivotTable16"/>
    <pivotTable tabId="3" name="PivotTable17"/>
    <pivotTable tabId="3" name="PivotTable18"/>
    <pivotTable tabId="3" name="PivotTable19"/>
    <pivotTable tabId="3" name="PivotTable20"/>
    <pivotTable tabId="2" name="PivotTable12"/>
    <pivotTable tabId="2" name="PivotTable13"/>
    <pivotTable tabId="2" name="PivotTable14"/>
  </pivotTables>
  <data>
    <tabular pivotCacheId="689926425">
      <items count="5">
        <i x="3" s="1"/>
        <i x="2"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20259E28-F8B9-42C1-A61F-69CCE27BA1EF}" sourceName="Sales Rep">
  <pivotTables>
    <pivotTable tabId="3" name="PivotTable16"/>
    <pivotTable tabId="3" name="PivotTable17"/>
    <pivotTable tabId="3" name="PivotTable18"/>
    <pivotTable tabId="3" name="PivotTable19"/>
    <pivotTable tabId="3" name="PivotTable20"/>
    <pivotTable tabId="2" name="PivotTable12"/>
    <pivotTable tabId="2" name="PivotTable13"/>
    <pivotTable tabId="2" name="PivotTable14"/>
  </pivotTables>
  <data>
    <tabular pivotCacheId="689926425">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92E22373-3121-4C6A-AB00-3D52B1549ED9}" cache="Slicer_Item" caption="Item" rowHeight="241300"/>
  <slicer name="Sales Rep" xr10:uid="{C6C3FC7A-F074-4751-B5A3-95378474E405}" cache="Slicer_Sales_Rep" caption="Sales Re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04DACD42-541F-43C8-AEB6-4A639BD4594C}" cache="Slicer_Item" caption="Item" rowHeight="241300"/>
  <slicer name="Sales Rep 1" xr10:uid="{6B4DFB21-1888-4199-ACC3-E9B85D7FA759}" cache="Slicer_Sales_Rep" caption="Sales Rep"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FE57B7-9EB3-4E1F-B6A4-7AAD18661B15}" name="salesorderanalysis" displayName="salesorderanalysis" ref="A1:J1301" tableType="queryTable" totalsRowShown="0">
  <autoFilter ref="A1:J1301" xr:uid="{0BFE57B7-9EB3-4E1F-B6A4-7AAD18661B15}"/>
  <tableColumns count="10">
    <tableColumn id="1" xr3:uid="{F5B60A3D-F13E-46E6-8992-2525CF9E99CC}" uniqueName="1" name="Order Id" queryTableFieldId="1" dataDxfId="4"/>
    <tableColumn id="2" xr3:uid="{E79FD676-1EA3-4CAD-B639-9F4C1ABF486B}" uniqueName="2" name="Date" queryTableFieldId="2" dataDxfId="3"/>
    <tableColumn id="3" xr3:uid="{385C1B30-73C4-41C0-814E-0A26CB2A5D24}" uniqueName="3" name="Item" queryTableFieldId="3" dataDxfId="2"/>
    <tableColumn id="4" xr3:uid="{8A1B5356-5CE1-45E9-8CA6-C40C7AEBB1BE}" uniqueName="4" name="Sales Rep" queryTableFieldId="4" dataDxfId="1"/>
    <tableColumn id="5" xr3:uid="{E54F8EB9-4B0A-4C5E-AA5E-0161770CE2A8}" uniqueName="5" name="Quantity" queryTableFieldId="5"/>
    <tableColumn id="6" xr3:uid="{5D033C0E-8DE7-4799-AA58-4085302A8666}" uniqueName="6" name="Price" queryTableFieldId="6"/>
    <tableColumn id="7" xr3:uid="{B0B1CC30-765A-4FFD-8AEF-4C7EF3BC91E9}" uniqueName="7" name="Total sales" queryTableFieldId="7"/>
    <tableColumn id="8" xr3:uid="{A643553E-9EF3-4233-8F39-0743FEF6F37C}" uniqueName="8" name="Commission" queryTableFieldId="8"/>
    <tableColumn id="9" xr3:uid="{B2498CCB-993D-4CA9-BED4-A05E268E063A}" uniqueName="9" name="Total Commission" queryTableFieldId="9"/>
    <tableColumn id="10" xr3:uid="{1D693929-66DB-4971-A011-94DB0EC45C6C}" uniqueName="10" name="State"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07/relationships/slicer" Target="../slicers/slicer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1.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603B0-E046-490B-AFA4-6A8BAB079C71}">
  <dimension ref="A1:J1301"/>
  <sheetViews>
    <sheetView workbookViewId="0">
      <selection activeCell="K6" sqref="K6"/>
    </sheetView>
  </sheetViews>
  <sheetFormatPr defaultRowHeight="14.25" x14ac:dyDescent="0.45"/>
  <cols>
    <col min="1" max="1" width="13.19921875" customWidth="1"/>
    <col min="2" max="2" width="11.46484375" customWidth="1"/>
    <col min="3" max="3" width="13.19921875" customWidth="1"/>
    <col min="4" max="4" width="11.33203125" customWidth="1"/>
    <col min="5" max="5" width="11.59765625" customWidth="1"/>
    <col min="7" max="7" width="13.73046875" customWidth="1"/>
    <col min="8" max="8" width="16.53125" customWidth="1"/>
    <col min="9" max="9" width="18.86328125" customWidth="1"/>
    <col min="10" max="10" width="16.33203125" customWidth="1"/>
  </cols>
  <sheetData>
    <row r="1" spans="1:10" x14ac:dyDescent="0.45">
      <c r="A1" t="s">
        <v>0</v>
      </c>
      <c r="B1" t="s">
        <v>1</v>
      </c>
      <c r="C1" t="s">
        <v>2</v>
      </c>
      <c r="D1" t="s">
        <v>3</v>
      </c>
      <c r="E1" t="s">
        <v>4</v>
      </c>
      <c r="F1" t="s">
        <v>5</v>
      </c>
      <c r="G1" t="s">
        <v>6</v>
      </c>
      <c r="H1" t="s">
        <v>7</v>
      </c>
      <c r="I1" t="s">
        <v>8</v>
      </c>
      <c r="J1" t="s">
        <v>9</v>
      </c>
    </row>
    <row r="2" spans="1:10" x14ac:dyDescent="0.45">
      <c r="A2" t="s">
        <v>10</v>
      </c>
      <c r="B2" t="s">
        <v>11</v>
      </c>
      <c r="C2" t="s">
        <v>12</v>
      </c>
      <c r="D2" t="s">
        <v>13</v>
      </c>
      <c r="E2">
        <v>10</v>
      </c>
      <c r="F2">
        <v>80</v>
      </c>
      <c r="G2">
        <v>800</v>
      </c>
      <c r="H2">
        <v>0.01</v>
      </c>
      <c r="I2">
        <v>8</v>
      </c>
      <c r="J2" t="s">
        <v>14</v>
      </c>
    </row>
    <row r="3" spans="1:10" x14ac:dyDescent="0.45">
      <c r="A3" t="s">
        <v>15</v>
      </c>
      <c r="B3" t="s">
        <v>11</v>
      </c>
      <c r="C3" t="s">
        <v>16</v>
      </c>
      <c r="D3" t="s">
        <v>17</v>
      </c>
      <c r="E3">
        <v>14</v>
      </c>
      <c r="F3">
        <v>40</v>
      </c>
      <c r="G3">
        <v>560</v>
      </c>
      <c r="H3">
        <v>0.06</v>
      </c>
      <c r="I3">
        <v>33.6</v>
      </c>
      <c r="J3" t="s">
        <v>18</v>
      </c>
    </row>
    <row r="4" spans="1:10" x14ac:dyDescent="0.45">
      <c r="A4" t="s">
        <v>19</v>
      </c>
      <c r="B4" t="s">
        <v>11</v>
      </c>
      <c r="C4" t="s">
        <v>20</v>
      </c>
      <c r="D4" t="s">
        <v>17</v>
      </c>
      <c r="E4">
        <v>22</v>
      </c>
      <c r="F4">
        <v>230</v>
      </c>
      <c r="G4">
        <v>5060</v>
      </c>
      <c r="H4">
        <v>0.11</v>
      </c>
      <c r="I4">
        <v>556.6</v>
      </c>
      <c r="J4" t="s">
        <v>21</v>
      </c>
    </row>
    <row r="5" spans="1:10" x14ac:dyDescent="0.45">
      <c r="A5" t="s">
        <v>22</v>
      </c>
      <c r="B5" t="s">
        <v>11</v>
      </c>
      <c r="C5" t="s">
        <v>20</v>
      </c>
      <c r="D5" t="s">
        <v>13</v>
      </c>
      <c r="E5">
        <v>8</v>
      </c>
      <c r="F5">
        <v>230</v>
      </c>
      <c r="G5">
        <v>1840</v>
      </c>
      <c r="H5">
        <v>0.03</v>
      </c>
      <c r="I5">
        <v>55.199999999999996</v>
      </c>
      <c r="J5" t="s">
        <v>23</v>
      </c>
    </row>
    <row r="6" spans="1:10" x14ac:dyDescent="0.45">
      <c r="A6" t="s">
        <v>24</v>
      </c>
      <c r="B6" t="s">
        <v>11</v>
      </c>
      <c r="C6" t="s">
        <v>20</v>
      </c>
      <c r="D6" t="s">
        <v>25</v>
      </c>
      <c r="E6">
        <v>12</v>
      </c>
      <c r="F6">
        <v>230</v>
      </c>
      <c r="G6">
        <v>2760</v>
      </c>
      <c r="H6">
        <v>0.03</v>
      </c>
      <c r="I6">
        <v>82.8</v>
      </c>
      <c r="J6" t="s">
        <v>26</v>
      </c>
    </row>
    <row r="7" spans="1:10" x14ac:dyDescent="0.45">
      <c r="A7" t="s">
        <v>27</v>
      </c>
      <c r="B7" t="s">
        <v>11</v>
      </c>
      <c r="C7" t="s">
        <v>12</v>
      </c>
      <c r="D7" t="s">
        <v>28</v>
      </c>
      <c r="E7">
        <v>19</v>
      </c>
      <c r="F7">
        <v>80</v>
      </c>
      <c r="G7">
        <v>1520</v>
      </c>
      <c r="H7">
        <v>0.02</v>
      </c>
      <c r="I7">
        <v>30.400000000000002</v>
      </c>
      <c r="J7" t="s">
        <v>29</v>
      </c>
    </row>
    <row r="8" spans="1:10" x14ac:dyDescent="0.45">
      <c r="A8" t="s">
        <v>30</v>
      </c>
      <c r="B8" t="s">
        <v>11</v>
      </c>
      <c r="C8" t="s">
        <v>31</v>
      </c>
      <c r="D8" t="s">
        <v>32</v>
      </c>
      <c r="E8">
        <v>17</v>
      </c>
      <c r="F8">
        <v>16</v>
      </c>
      <c r="G8">
        <v>272</v>
      </c>
      <c r="H8">
        <v>0.08</v>
      </c>
      <c r="I8">
        <v>21.76</v>
      </c>
      <c r="J8" t="s">
        <v>33</v>
      </c>
    </row>
    <row r="9" spans="1:10" x14ac:dyDescent="0.45">
      <c r="A9" t="s">
        <v>34</v>
      </c>
      <c r="B9" t="s">
        <v>11</v>
      </c>
      <c r="C9" t="s">
        <v>35</v>
      </c>
      <c r="D9" t="s">
        <v>28</v>
      </c>
      <c r="E9">
        <v>7</v>
      </c>
      <c r="F9">
        <v>150</v>
      </c>
      <c r="G9">
        <v>1050</v>
      </c>
      <c r="H9">
        <v>0.05</v>
      </c>
      <c r="I9">
        <v>52.5</v>
      </c>
      <c r="J9" t="s">
        <v>36</v>
      </c>
    </row>
    <row r="10" spans="1:10" x14ac:dyDescent="0.45">
      <c r="A10" t="s">
        <v>37</v>
      </c>
      <c r="B10" t="s">
        <v>11</v>
      </c>
      <c r="C10" t="s">
        <v>35</v>
      </c>
      <c r="D10" t="s">
        <v>28</v>
      </c>
      <c r="E10">
        <v>20</v>
      </c>
      <c r="F10">
        <v>150</v>
      </c>
      <c r="G10">
        <v>3000</v>
      </c>
      <c r="H10">
        <v>0.1</v>
      </c>
      <c r="I10">
        <v>300</v>
      </c>
      <c r="J10" t="s">
        <v>38</v>
      </c>
    </row>
    <row r="11" spans="1:10" x14ac:dyDescent="0.45">
      <c r="A11" t="s">
        <v>39</v>
      </c>
      <c r="B11" t="s">
        <v>11</v>
      </c>
      <c r="C11" t="s">
        <v>31</v>
      </c>
      <c r="D11" t="s">
        <v>13</v>
      </c>
      <c r="E11">
        <v>21</v>
      </c>
      <c r="F11">
        <v>16</v>
      </c>
      <c r="G11">
        <v>336</v>
      </c>
      <c r="H11">
        <v>0.09</v>
      </c>
      <c r="I11">
        <v>30.24</v>
      </c>
      <c r="J11" t="s">
        <v>40</v>
      </c>
    </row>
    <row r="12" spans="1:10" x14ac:dyDescent="0.45">
      <c r="A12" t="s">
        <v>41</v>
      </c>
      <c r="B12" t="s">
        <v>11</v>
      </c>
      <c r="C12" t="s">
        <v>20</v>
      </c>
      <c r="D12" t="s">
        <v>17</v>
      </c>
      <c r="E12">
        <v>7</v>
      </c>
      <c r="F12">
        <v>230</v>
      </c>
      <c r="G12">
        <v>1610</v>
      </c>
      <c r="H12">
        <v>0.01</v>
      </c>
      <c r="I12">
        <v>16.100000000000001</v>
      </c>
      <c r="J12" t="s">
        <v>42</v>
      </c>
    </row>
    <row r="13" spans="1:10" x14ac:dyDescent="0.45">
      <c r="A13" t="s">
        <v>43</v>
      </c>
      <c r="B13" t="s">
        <v>44</v>
      </c>
      <c r="C13" t="s">
        <v>12</v>
      </c>
      <c r="D13" t="s">
        <v>28</v>
      </c>
      <c r="E13">
        <v>7</v>
      </c>
      <c r="F13">
        <v>80</v>
      </c>
      <c r="G13">
        <v>560</v>
      </c>
      <c r="H13">
        <v>7.0000000000000007E-2</v>
      </c>
      <c r="I13">
        <v>39.200000000000003</v>
      </c>
      <c r="J13" t="s">
        <v>45</v>
      </c>
    </row>
    <row r="14" spans="1:10" x14ac:dyDescent="0.45">
      <c r="A14" t="s">
        <v>46</v>
      </c>
      <c r="B14" t="s">
        <v>44</v>
      </c>
      <c r="C14" t="s">
        <v>12</v>
      </c>
      <c r="D14" t="s">
        <v>32</v>
      </c>
      <c r="E14">
        <v>9</v>
      </c>
      <c r="F14">
        <v>80</v>
      </c>
      <c r="G14">
        <v>720</v>
      </c>
      <c r="H14">
        <v>0.02</v>
      </c>
      <c r="I14">
        <v>14.4</v>
      </c>
      <c r="J14" t="s">
        <v>14</v>
      </c>
    </row>
    <row r="15" spans="1:10" x14ac:dyDescent="0.45">
      <c r="A15" t="s">
        <v>47</v>
      </c>
      <c r="B15" t="s">
        <v>44</v>
      </c>
      <c r="C15" t="s">
        <v>16</v>
      </c>
      <c r="D15" t="s">
        <v>32</v>
      </c>
      <c r="E15">
        <v>16</v>
      </c>
      <c r="F15">
        <v>40</v>
      </c>
      <c r="G15">
        <v>640</v>
      </c>
      <c r="H15">
        <v>0.09</v>
      </c>
      <c r="I15">
        <v>57.599999999999994</v>
      </c>
      <c r="J15" t="s">
        <v>18</v>
      </c>
    </row>
    <row r="16" spans="1:10" x14ac:dyDescent="0.45">
      <c r="A16" t="s">
        <v>48</v>
      </c>
      <c r="B16" t="s">
        <v>44</v>
      </c>
      <c r="C16" t="s">
        <v>35</v>
      </c>
      <c r="D16" t="s">
        <v>17</v>
      </c>
      <c r="E16">
        <v>23</v>
      </c>
      <c r="F16">
        <v>150</v>
      </c>
      <c r="G16">
        <v>3450</v>
      </c>
      <c r="H16">
        <v>0.11</v>
      </c>
      <c r="I16">
        <v>379.5</v>
      </c>
      <c r="J16" t="s">
        <v>21</v>
      </c>
    </row>
    <row r="17" spans="1:10" x14ac:dyDescent="0.45">
      <c r="A17" t="s">
        <v>49</v>
      </c>
      <c r="B17" t="s">
        <v>44</v>
      </c>
      <c r="C17" t="s">
        <v>31</v>
      </c>
      <c r="D17" t="s">
        <v>28</v>
      </c>
      <c r="E17">
        <v>22</v>
      </c>
      <c r="F17">
        <v>16</v>
      </c>
      <c r="G17">
        <v>352</v>
      </c>
      <c r="H17">
        <v>0.03</v>
      </c>
      <c r="I17">
        <v>10.559999999999999</v>
      </c>
      <c r="J17" t="s">
        <v>23</v>
      </c>
    </row>
    <row r="18" spans="1:10" x14ac:dyDescent="0.45">
      <c r="A18" t="s">
        <v>50</v>
      </c>
      <c r="B18" t="s">
        <v>44</v>
      </c>
      <c r="C18" t="s">
        <v>16</v>
      </c>
      <c r="D18" t="s">
        <v>28</v>
      </c>
      <c r="E18">
        <v>23</v>
      </c>
      <c r="F18">
        <v>40</v>
      </c>
      <c r="G18">
        <v>920</v>
      </c>
      <c r="H18">
        <v>0.06</v>
      </c>
      <c r="I18">
        <v>55.199999999999996</v>
      </c>
      <c r="J18" t="s">
        <v>26</v>
      </c>
    </row>
    <row r="19" spans="1:10" x14ac:dyDescent="0.45">
      <c r="A19" t="s">
        <v>51</v>
      </c>
      <c r="B19" t="s">
        <v>44</v>
      </c>
      <c r="C19" t="s">
        <v>12</v>
      </c>
      <c r="D19" t="s">
        <v>13</v>
      </c>
      <c r="E19">
        <v>20</v>
      </c>
      <c r="F19">
        <v>80</v>
      </c>
      <c r="G19">
        <v>1600</v>
      </c>
      <c r="H19">
        <v>0.01</v>
      </c>
      <c r="I19">
        <v>16</v>
      </c>
      <c r="J19" t="s">
        <v>29</v>
      </c>
    </row>
    <row r="20" spans="1:10" x14ac:dyDescent="0.45">
      <c r="A20" t="s">
        <v>52</v>
      </c>
      <c r="B20" t="s">
        <v>53</v>
      </c>
      <c r="C20" t="s">
        <v>12</v>
      </c>
      <c r="D20" t="s">
        <v>28</v>
      </c>
      <c r="E20">
        <v>11</v>
      </c>
      <c r="F20">
        <v>80</v>
      </c>
      <c r="G20">
        <v>880</v>
      </c>
      <c r="H20">
        <v>0.01</v>
      </c>
      <c r="I20">
        <v>8.8000000000000007</v>
      </c>
      <c r="J20" t="s">
        <v>33</v>
      </c>
    </row>
    <row r="21" spans="1:10" x14ac:dyDescent="0.45">
      <c r="A21" t="s">
        <v>54</v>
      </c>
      <c r="B21" t="s">
        <v>53</v>
      </c>
      <c r="C21" t="s">
        <v>16</v>
      </c>
      <c r="D21" t="s">
        <v>28</v>
      </c>
      <c r="E21">
        <v>9</v>
      </c>
      <c r="F21">
        <v>40</v>
      </c>
      <c r="G21">
        <v>360</v>
      </c>
      <c r="H21">
        <v>0.06</v>
      </c>
      <c r="I21">
        <v>21.599999999999998</v>
      </c>
      <c r="J21" t="s">
        <v>36</v>
      </c>
    </row>
    <row r="22" spans="1:10" x14ac:dyDescent="0.45">
      <c r="A22" t="s">
        <v>55</v>
      </c>
      <c r="B22" t="s">
        <v>53</v>
      </c>
      <c r="C22" t="s">
        <v>12</v>
      </c>
      <c r="D22" t="s">
        <v>32</v>
      </c>
      <c r="E22">
        <v>16</v>
      </c>
      <c r="F22">
        <v>80</v>
      </c>
      <c r="G22">
        <v>1280</v>
      </c>
      <c r="H22">
        <v>0.09</v>
      </c>
      <c r="I22">
        <v>115.19999999999999</v>
      </c>
      <c r="J22" t="s">
        <v>38</v>
      </c>
    </row>
    <row r="23" spans="1:10" x14ac:dyDescent="0.45">
      <c r="A23" t="s">
        <v>56</v>
      </c>
      <c r="B23" t="s">
        <v>53</v>
      </c>
      <c r="C23" t="s">
        <v>12</v>
      </c>
      <c r="D23" t="s">
        <v>25</v>
      </c>
      <c r="E23">
        <v>10</v>
      </c>
      <c r="F23">
        <v>80</v>
      </c>
      <c r="G23">
        <v>800</v>
      </c>
      <c r="H23">
        <v>0.08</v>
      </c>
      <c r="I23">
        <v>64</v>
      </c>
      <c r="J23" t="s">
        <v>40</v>
      </c>
    </row>
    <row r="24" spans="1:10" x14ac:dyDescent="0.45">
      <c r="A24" t="s">
        <v>57</v>
      </c>
      <c r="B24" t="s">
        <v>53</v>
      </c>
      <c r="C24" t="s">
        <v>31</v>
      </c>
      <c r="D24" t="s">
        <v>25</v>
      </c>
      <c r="E24">
        <v>12</v>
      </c>
      <c r="F24">
        <v>16</v>
      </c>
      <c r="G24">
        <v>192</v>
      </c>
      <c r="H24">
        <v>0.11</v>
      </c>
      <c r="I24">
        <v>21.12</v>
      </c>
      <c r="J24" t="s">
        <v>42</v>
      </c>
    </row>
    <row r="25" spans="1:10" x14ac:dyDescent="0.45">
      <c r="A25" t="s">
        <v>58</v>
      </c>
      <c r="B25" t="s">
        <v>53</v>
      </c>
      <c r="C25" t="s">
        <v>35</v>
      </c>
      <c r="D25" t="s">
        <v>28</v>
      </c>
      <c r="E25">
        <v>6</v>
      </c>
      <c r="F25">
        <v>150</v>
      </c>
      <c r="G25">
        <v>900</v>
      </c>
      <c r="H25">
        <v>0.03</v>
      </c>
      <c r="I25">
        <v>27</v>
      </c>
      <c r="J25" t="s">
        <v>45</v>
      </c>
    </row>
    <row r="26" spans="1:10" x14ac:dyDescent="0.45">
      <c r="A26" t="s">
        <v>59</v>
      </c>
      <c r="B26" t="s">
        <v>53</v>
      </c>
      <c r="C26" t="s">
        <v>31</v>
      </c>
      <c r="D26" t="s">
        <v>25</v>
      </c>
      <c r="E26">
        <v>11</v>
      </c>
      <c r="F26">
        <v>16</v>
      </c>
      <c r="G26">
        <v>176</v>
      </c>
      <c r="H26">
        <v>0.04</v>
      </c>
      <c r="I26">
        <v>7.04</v>
      </c>
      <c r="J26" t="s">
        <v>14</v>
      </c>
    </row>
    <row r="27" spans="1:10" x14ac:dyDescent="0.45">
      <c r="A27" t="s">
        <v>60</v>
      </c>
      <c r="B27" t="s">
        <v>53</v>
      </c>
      <c r="C27" t="s">
        <v>12</v>
      </c>
      <c r="D27" t="s">
        <v>28</v>
      </c>
      <c r="E27">
        <v>22</v>
      </c>
      <c r="F27">
        <v>80</v>
      </c>
      <c r="G27">
        <v>1760</v>
      </c>
      <c r="H27">
        <v>0.03</v>
      </c>
      <c r="I27">
        <v>52.8</v>
      </c>
      <c r="J27" t="s">
        <v>18</v>
      </c>
    </row>
    <row r="28" spans="1:10" x14ac:dyDescent="0.45">
      <c r="A28" t="s">
        <v>61</v>
      </c>
      <c r="B28" t="s">
        <v>53</v>
      </c>
      <c r="C28" t="s">
        <v>31</v>
      </c>
      <c r="D28" t="s">
        <v>17</v>
      </c>
      <c r="E28">
        <v>7</v>
      </c>
      <c r="F28">
        <v>16</v>
      </c>
      <c r="G28">
        <v>112</v>
      </c>
      <c r="H28">
        <v>0.08</v>
      </c>
      <c r="I28">
        <v>8.9600000000000009</v>
      </c>
      <c r="J28" t="s">
        <v>21</v>
      </c>
    </row>
    <row r="29" spans="1:10" x14ac:dyDescent="0.45">
      <c r="A29" t="s">
        <v>62</v>
      </c>
      <c r="B29" t="s">
        <v>53</v>
      </c>
      <c r="C29" t="s">
        <v>16</v>
      </c>
      <c r="D29" t="s">
        <v>28</v>
      </c>
      <c r="E29">
        <v>13</v>
      </c>
      <c r="F29">
        <v>40</v>
      </c>
      <c r="G29">
        <v>520</v>
      </c>
      <c r="H29">
        <v>0.09</v>
      </c>
      <c r="I29">
        <v>46.8</v>
      </c>
      <c r="J29" t="s">
        <v>23</v>
      </c>
    </row>
    <row r="30" spans="1:10" x14ac:dyDescent="0.45">
      <c r="A30" t="s">
        <v>63</v>
      </c>
      <c r="B30" t="s">
        <v>53</v>
      </c>
      <c r="C30" t="s">
        <v>20</v>
      </c>
      <c r="D30" t="s">
        <v>28</v>
      </c>
      <c r="E30">
        <v>8</v>
      </c>
      <c r="F30">
        <v>230</v>
      </c>
      <c r="G30">
        <v>1840</v>
      </c>
      <c r="H30">
        <v>0.05</v>
      </c>
      <c r="I30">
        <v>92</v>
      </c>
      <c r="J30" t="s">
        <v>26</v>
      </c>
    </row>
    <row r="31" spans="1:10" x14ac:dyDescent="0.45">
      <c r="A31" t="s">
        <v>64</v>
      </c>
      <c r="B31" t="s">
        <v>53</v>
      </c>
      <c r="C31" t="s">
        <v>31</v>
      </c>
      <c r="D31" t="s">
        <v>28</v>
      </c>
      <c r="E31">
        <v>14</v>
      </c>
      <c r="F31">
        <v>16</v>
      </c>
      <c r="G31">
        <v>224</v>
      </c>
      <c r="H31">
        <v>0.12</v>
      </c>
      <c r="I31">
        <v>26.88</v>
      </c>
      <c r="J31" t="s">
        <v>29</v>
      </c>
    </row>
    <row r="32" spans="1:10" x14ac:dyDescent="0.45">
      <c r="A32" t="s">
        <v>65</v>
      </c>
      <c r="B32" t="s">
        <v>53</v>
      </c>
      <c r="C32" t="s">
        <v>16</v>
      </c>
      <c r="D32" t="s">
        <v>32</v>
      </c>
      <c r="E32">
        <v>16</v>
      </c>
      <c r="F32">
        <v>40</v>
      </c>
      <c r="G32">
        <v>640</v>
      </c>
      <c r="H32">
        <v>0.09</v>
      </c>
      <c r="I32">
        <v>57.599999999999994</v>
      </c>
      <c r="J32" t="s">
        <v>33</v>
      </c>
    </row>
    <row r="33" spans="1:10" x14ac:dyDescent="0.45">
      <c r="A33" t="s">
        <v>66</v>
      </c>
      <c r="B33" t="s">
        <v>67</v>
      </c>
      <c r="C33" t="s">
        <v>35</v>
      </c>
      <c r="D33" t="s">
        <v>17</v>
      </c>
      <c r="E33">
        <v>16</v>
      </c>
      <c r="F33">
        <v>150</v>
      </c>
      <c r="G33">
        <v>2400</v>
      </c>
      <c r="H33">
        <v>0.05</v>
      </c>
      <c r="I33">
        <v>120</v>
      </c>
      <c r="J33" t="s">
        <v>36</v>
      </c>
    </row>
    <row r="34" spans="1:10" x14ac:dyDescent="0.45">
      <c r="A34" t="s">
        <v>68</v>
      </c>
      <c r="B34" t="s">
        <v>67</v>
      </c>
      <c r="C34" t="s">
        <v>16</v>
      </c>
      <c r="D34" t="s">
        <v>17</v>
      </c>
      <c r="E34">
        <v>12</v>
      </c>
      <c r="F34">
        <v>40</v>
      </c>
      <c r="G34">
        <v>480</v>
      </c>
      <c r="H34">
        <v>0.1</v>
      </c>
      <c r="I34">
        <v>48</v>
      </c>
      <c r="J34" t="s">
        <v>38</v>
      </c>
    </row>
    <row r="35" spans="1:10" x14ac:dyDescent="0.45">
      <c r="A35" t="s">
        <v>69</v>
      </c>
      <c r="B35" t="s">
        <v>67</v>
      </c>
      <c r="C35" t="s">
        <v>12</v>
      </c>
      <c r="D35" t="s">
        <v>32</v>
      </c>
      <c r="E35">
        <v>17</v>
      </c>
      <c r="F35">
        <v>80</v>
      </c>
      <c r="G35">
        <v>1360</v>
      </c>
      <c r="H35">
        <v>7.0000000000000007E-2</v>
      </c>
      <c r="I35">
        <v>95.2</v>
      </c>
      <c r="J35" t="s">
        <v>40</v>
      </c>
    </row>
    <row r="36" spans="1:10" x14ac:dyDescent="0.45">
      <c r="A36" t="s">
        <v>70</v>
      </c>
      <c r="B36" t="s">
        <v>67</v>
      </c>
      <c r="C36" t="s">
        <v>20</v>
      </c>
      <c r="D36" t="s">
        <v>28</v>
      </c>
      <c r="E36">
        <v>19</v>
      </c>
      <c r="F36">
        <v>230</v>
      </c>
      <c r="G36">
        <v>4370</v>
      </c>
      <c r="H36">
        <v>0.06</v>
      </c>
      <c r="I36">
        <v>262.2</v>
      </c>
      <c r="J36" t="s">
        <v>42</v>
      </c>
    </row>
    <row r="37" spans="1:10" x14ac:dyDescent="0.45">
      <c r="A37" t="s">
        <v>71</v>
      </c>
      <c r="B37" t="s">
        <v>67</v>
      </c>
      <c r="C37" t="s">
        <v>20</v>
      </c>
      <c r="D37" t="s">
        <v>32</v>
      </c>
      <c r="E37">
        <v>22</v>
      </c>
      <c r="F37">
        <v>230</v>
      </c>
      <c r="G37">
        <v>5060</v>
      </c>
      <c r="H37">
        <v>0.1</v>
      </c>
      <c r="I37">
        <v>506</v>
      </c>
      <c r="J37" t="s">
        <v>45</v>
      </c>
    </row>
    <row r="38" spans="1:10" x14ac:dyDescent="0.45">
      <c r="A38" t="s">
        <v>72</v>
      </c>
      <c r="B38" t="s">
        <v>67</v>
      </c>
      <c r="C38" t="s">
        <v>16</v>
      </c>
      <c r="D38" t="s">
        <v>28</v>
      </c>
      <c r="E38">
        <v>22</v>
      </c>
      <c r="F38">
        <v>40</v>
      </c>
      <c r="G38">
        <v>880</v>
      </c>
      <c r="H38">
        <v>0.01</v>
      </c>
      <c r="I38">
        <v>8.8000000000000007</v>
      </c>
      <c r="J38" t="s">
        <v>14</v>
      </c>
    </row>
    <row r="39" spans="1:10" x14ac:dyDescent="0.45">
      <c r="A39" t="s">
        <v>73</v>
      </c>
      <c r="B39" t="s">
        <v>67</v>
      </c>
      <c r="C39" t="s">
        <v>31</v>
      </c>
      <c r="D39" t="s">
        <v>28</v>
      </c>
      <c r="E39">
        <v>10</v>
      </c>
      <c r="F39">
        <v>16</v>
      </c>
      <c r="G39">
        <v>160</v>
      </c>
      <c r="H39">
        <v>0.04</v>
      </c>
      <c r="I39">
        <v>6.4</v>
      </c>
      <c r="J39" t="s">
        <v>18</v>
      </c>
    </row>
    <row r="40" spans="1:10" x14ac:dyDescent="0.45">
      <c r="A40" t="s">
        <v>74</v>
      </c>
      <c r="B40" t="s">
        <v>67</v>
      </c>
      <c r="C40" t="s">
        <v>16</v>
      </c>
      <c r="D40" t="s">
        <v>17</v>
      </c>
      <c r="E40">
        <v>4</v>
      </c>
      <c r="F40">
        <v>40</v>
      </c>
      <c r="G40">
        <v>160</v>
      </c>
      <c r="H40">
        <v>0.12</v>
      </c>
      <c r="I40">
        <v>19.2</v>
      </c>
      <c r="J40" t="s">
        <v>21</v>
      </c>
    </row>
    <row r="41" spans="1:10" x14ac:dyDescent="0.45">
      <c r="A41" t="s">
        <v>75</v>
      </c>
      <c r="B41" t="s">
        <v>67</v>
      </c>
      <c r="C41" t="s">
        <v>16</v>
      </c>
      <c r="D41" t="s">
        <v>32</v>
      </c>
      <c r="E41">
        <v>20</v>
      </c>
      <c r="F41">
        <v>40</v>
      </c>
      <c r="G41">
        <v>800</v>
      </c>
      <c r="H41">
        <v>0.05</v>
      </c>
      <c r="I41">
        <v>40</v>
      </c>
      <c r="J41" t="s">
        <v>23</v>
      </c>
    </row>
    <row r="42" spans="1:10" x14ac:dyDescent="0.45">
      <c r="A42" t="s">
        <v>76</v>
      </c>
      <c r="B42" t="s">
        <v>77</v>
      </c>
      <c r="C42" t="s">
        <v>20</v>
      </c>
      <c r="D42" t="s">
        <v>28</v>
      </c>
      <c r="E42">
        <v>23</v>
      </c>
      <c r="F42">
        <v>230</v>
      </c>
      <c r="G42">
        <v>5290</v>
      </c>
      <c r="H42">
        <v>0.06</v>
      </c>
      <c r="I42">
        <v>317.39999999999998</v>
      </c>
      <c r="J42" t="s">
        <v>26</v>
      </c>
    </row>
    <row r="43" spans="1:10" x14ac:dyDescent="0.45">
      <c r="A43" t="s">
        <v>78</v>
      </c>
      <c r="B43" t="s">
        <v>77</v>
      </c>
      <c r="C43" t="s">
        <v>16</v>
      </c>
      <c r="D43" t="s">
        <v>25</v>
      </c>
      <c r="E43">
        <v>20</v>
      </c>
      <c r="F43">
        <v>40</v>
      </c>
      <c r="G43">
        <v>800</v>
      </c>
      <c r="H43">
        <v>0.01</v>
      </c>
      <c r="I43">
        <v>8</v>
      </c>
      <c r="J43" t="s">
        <v>29</v>
      </c>
    </row>
    <row r="44" spans="1:10" x14ac:dyDescent="0.45">
      <c r="A44" t="s">
        <v>79</v>
      </c>
      <c r="B44" t="s">
        <v>77</v>
      </c>
      <c r="C44" t="s">
        <v>35</v>
      </c>
      <c r="D44" t="s">
        <v>25</v>
      </c>
      <c r="E44">
        <v>20</v>
      </c>
      <c r="F44">
        <v>150</v>
      </c>
      <c r="G44">
        <v>3000</v>
      </c>
      <c r="H44">
        <v>0.04</v>
      </c>
      <c r="I44">
        <v>120</v>
      </c>
      <c r="J44" t="s">
        <v>33</v>
      </c>
    </row>
    <row r="45" spans="1:10" x14ac:dyDescent="0.45">
      <c r="A45" t="s">
        <v>80</v>
      </c>
      <c r="B45" t="s">
        <v>77</v>
      </c>
      <c r="C45" t="s">
        <v>12</v>
      </c>
      <c r="D45" t="s">
        <v>17</v>
      </c>
      <c r="E45">
        <v>9</v>
      </c>
      <c r="F45">
        <v>80</v>
      </c>
      <c r="G45">
        <v>720</v>
      </c>
      <c r="H45">
        <v>0.03</v>
      </c>
      <c r="I45">
        <v>21.599999999999998</v>
      </c>
      <c r="J45" t="s">
        <v>36</v>
      </c>
    </row>
    <row r="46" spans="1:10" x14ac:dyDescent="0.45">
      <c r="A46" t="s">
        <v>81</v>
      </c>
      <c r="B46" t="s">
        <v>77</v>
      </c>
      <c r="C46" t="s">
        <v>20</v>
      </c>
      <c r="D46" t="s">
        <v>13</v>
      </c>
      <c r="E46">
        <v>7</v>
      </c>
      <c r="F46">
        <v>230</v>
      </c>
      <c r="G46">
        <v>1610</v>
      </c>
      <c r="H46">
        <v>0.02</v>
      </c>
      <c r="I46">
        <v>32.200000000000003</v>
      </c>
      <c r="J46" t="s">
        <v>38</v>
      </c>
    </row>
    <row r="47" spans="1:10" x14ac:dyDescent="0.45">
      <c r="A47" t="s">
        <v>82</v>
      </c>
      <c r="B47" t="s">
        <v>77</v>
      </c>
      <c r="C47" t="s">
        <v>20</v>
      </c>
      <c r="D47" t="s">
        <v>13</v>
      </c>
      <c r="E47">
        <v>3</v>
      </c>
      <c r="F47">
        <v>230</v>
      </c>
      <c r="G47">
        <v>690</v>
      </c>
      <c r="H47">
        <v>0.06</v>
      </c>
      <c r="I47">
        <v>41.4</v>
      </c>
      <c r="J47" t="s">
        <v>40</v>
      </c>
    </row>
    <row r="48" spans="1:10" x14ac:dyDescent="0.45">
      <c r="A48" t="s">
        <v>83</v>
      </c>
      <c r="B48" t="s">
        <v>77</v>
      </c>
      <c r="C48" t="s">
        <v>35</v>
      </c>
      <c r="D48" t="s">
        <v>13</v>
      </c>
      <c r="E48">
        <v>13</v>
      </c>
      <c r="F48">
        <v>150</v>
      </c>
      <c r="G48">
        <v>1950</v>
      </c>
      <c r="H48">
        <v>0.05</v>
      </c>
      <c r="I48">
        <v>97.5</v>
      </c>
      <c r="J48" t="s">
        <v>42</v>
      </c>
    </row>
    <row r="49" spans="1:10" x14ac:dyDescent="0.45">
      <c r="A49" t="s">
        <v>84</v>
      </c>
      <c r="B49" t="s">
        <v>77</v>
      </c>
      <c r="C49" t="s">
        <v>12</v>
      </c>
      <c r="D49" t="s">
        <v>13</v>
      </c>
      <c r="E49">
        <v>17</v>
      </c>
      <c r="F49">
        <v>80</v>
      </c>
      <c r="G49">
        <v>1360</v>
      </c>
      <c r="H49">
        <v>0.09</v>
      </c>
      <c r="I49">
        <v>122.39999999999999</v>
      </c>
      <c r="J49" t="s">
        <v>45</v>
      </c>
    </row>
    <row r="50" spans="1:10" x14ac:dyDescent="0.45">
      <c r="A50" t="s">
        <v>85</v>
      </c>
      <c r="B50" t="s">
        <v>86</v>
      </c>
      <c r="C50" t="s">
        <v>16</v>
      </c>
      <c r="D50" t="s">
        <v>28</v>
      </c>
      <c r="E50">
        <v>18</v>
      </c>
      <c r="F50">
        <v>40</v>
      </c>
      <c r="G50">
        <v>720</v>
      </c>
      <c r="H50">
        <v>0.06</v>
      </c>
      <c r="I50">
        <v>43.199999999999996</v>
      </c>
      <c r="J50" t="s">
        <v>14</v>
      </c>
    </row>
    <row r="51" spans="1:10" x14ac:dyDescent="0.45">
      <c r="A51" t="s">
        <v>87</v>
      </c>
      <c r="B51" t="s">
        <v>86</v>
      </c>
      <c r="C51" t="s">
        <v>31</v>
      </c>
      <c r="D51" t="s">
        <v>25</v>
      </c>
      <c r="E51">
        <v>23</v>
      </c>
      <c r="F51">
        <v>16</v>
      </c>
      <c r="G51">
        <v>368</v>
      </c>
      <c r="H51">
        <v>0.11</v>
      </c>
      <c r="I51">
        <v>40.479999999999997</v>
      </c>
      <c r="J51" t="s">
        <v>18</v>
      </c>
    </row>
    <row r="52" spans="1:10" x14ac:dyDescent="0.45">
      <c r="A52" t="s">
        <v>88</v>
      </c>
      <c r="B52" t="s">
        <v>86</v>
      </c>
      <c r="C52" t="s">
        <v>20</v>
      </c>
      <c r="D52" t="s">
        <v>25</v>
      </c>
      <c r="E52">
        <v>20</v>
      </c>
      <c r="F52">
        <v>230</v>
      </c>
      <c r="G52">
        <v>4600</v>
      </c>
      <c r="H52">
        <v>0.06</v>
      </c>
      <c r="I52">
        <v>276</v>
      </c>
      <c r="J52" t="s">
        <v>21</v>
      </c>
    </row>
    <row r="53" spans="1:10" x14ac:dyDescent="0.45">
      <c r="A53" t="s">
        <v>89</v>
      </c>
      <c r="B53" t="s">
        <v>86</v>
      </c>
      <c r="C53" t="s">
        <v>31</v>
      </c>
      <c r="D53" t="s">
        <v>13</v>
      </c>
      <c r="E53">
        <v>11</v>
      </c>
      <c r="F53">
        <v>16</v>
      </c>
      <c r="G53">
        <v>176</v>
      </c>
      <c r="H53">
        <v>0.09</v>
      </c>
      <c r="I53">
        <v>15.84</v>
      </c>
      <c r="J53" t="s">
        <v>23</v>
      </c>
    </row>
    <row r="54" spans="1:10" x14ac:dyDescent="0.45">
      <c r="A54" t="s">
        <v>90</v>
      </c>
      <c r="B54" t="s">
        <v>86</v>
      </c>
      <c r="C54" t="s">
        <v>35</v>
      </c>
      <c r="D54" t="s">
        <v>32</v>
      </c>
      <c r="E54">
        <v>15</v>
      </c>
      <c r="F54">
        <v>150</v>
      </c>
      <c r="G54">
        <v>2250</v>
      </c>
      <c r="H54">
        <v>7.0000000000000007E-2</v>
      </c>
      <c r="I54">
        <v>157.50000000000003</v>
      </c>
      <c r="J54" t="s">
        <v>26</v>
      </c>
    </row>
    <row r="55" spans="1:10" x14ac:dyDescent="0.45">
      <c r="A55" t="s">
        <v>91</v>
      </c>
      <c r="B55" t="s">
        <v>86</v>
      </c>
      <c r="C55" t="s">
        <v>20</v>
      </c>
      <c r="D55" t="s">
        <v>17</v>
      </c>
      <c r="E55">
        <v>6</v>
      </c>
      <c r="F55">
        <v>230</v>
      </c>
      <c r="G55">
        <v>1380</v>
      </c>
      <c r="H55">
        <v>0.1</v>
      </c>
      <c r="I55">
        <v>138</v>
      </c>
      <c r="J55" t="s">
        <v>29</v>
      </c>
    </row>
    <row r="56" spans="1:10" x14ac:dyDescent="0.45">
      <c r="A56" t="s">
        <v>92</v>
      </c>
      <c r="B56" t="s">
        <v>86</v>
      </c>
      <c r="C56" t="s">
        <v>16</v>
      </c>
      <c r="D56" t="s">
        <v>13</v>
      </c>
      <c r="E56">
        <v>22</v>
      </c>
      <c r="F56">
        <v>40</v>
      </c>
      <c r="G56">
        <v>880</v>
      </c>
      <c r="H56">
        <v>0.02</v>
      </c>
      <c r="I56">
        <v>17.600000000000001</v>
      </c>
      <c r="J56" t="s">
        <v>33</v>
      </c>
    </row>
    <row r="57" spans="1:10" x14ac:dyDescent="0.45">
      <c r="A57" t="s">
        <v>93</v>
      </c>
      <c r="B57" t="s">
        <v>86</v>
      </c>
      <c r="C57" t="s">
        <v>16</v>
      </c>
      <c r="D57" t="s">
        <v>13</v>
      </c>
      <c r="E57">
        <v>15</v>
      </c>
      <c r="F57">
        <v>40</v>
      </c>
      <c r="G57">
        <v>600</v>
      </c>
      <c r="H57">
        <v>0.06</v>
      </c>
      <c r="I57">
        <v>36</v>
      </c>
      <c r="J57" t="s">
        <v>36</v>
      </c>
    </row>
    <row r="58" spans="1:10" x14ac:dyDescent="0.45">
      <c r="A58" t="s">
        <v>94</v>
      </c>
      <c r="B58" t="s">
        <v>86</v>
      </c>
      <c r="C58" t="s">
        <v>31</v>
      </c>
      <c r="D58" t="s">
        <v>25</v>
      </c>
      <c r="E58">
        <v>12</v>
      </c>
      <c r="F58">
        <v>16</v>
      </c>
      <c r="G58">
        <v>192</v>
      </c>
      <c r="H58">
        <v>0.03</v>
      </c>
      <c r="I58">
        <v>5.76</v>
      </c>
      <c r="J58" t="s">
        <v>38</v>
      </c>
    </row>
    <row r="59" spans="1:10" x14ac:dyDescent="0.45">
      <c r="A59" t="s">
        <v>95</v>
      </c>
      <c r="B59" t="s">
        <v>86</v>
      </c>
      <c r="C59" t="s">
        <v>31</v>
      </c>
      <c r="D59" t="s">
        <v>32</v>
      </c>
      <c r="E59">
        <v>22</v>
      </c>
      <c r="F59">
        <v>16</v>
      </c>
      <c r="G59">
        <v>352</v>
      </c>
      <c r="H59">
        <v>0.12</v>
      </c>
      <c r="I59">
        <v>42.239999999999995</v>
      </c>
      <c r="J59" t="s">
        <v>40</v>
      </c>
    </row>
    <row r="60" spans="1:10" x14ac:dyDescent="0.45">
      <c r="A60" t="s">
        <v>96</v>
      </c>
      <c r="B60" t="s">
        <v>86</v>
      </c>
      <c r="C60" t="s">
        <v>12</v>
      </c>
      <c r="D60" t="s">
        <v>13</v>
      </c>
      <c r="E60">
        <v>21</v>
      </c>
      <c r="F60">
        <v>80</v>
      </c>
      <c r="G60">
        <v>1680</v>
      </c>
      <c r="H60">
        <v>0.04</v>
      </c>
      <c r="I60">
        <v>67.2</v>
      </c>
      <c r="J60" t="s">
        <v>42</v>
      </c>
    </row>
    <row r="61" spans="1:10" x14ac:dyDescent="0.45">
      <c r="A61" t="s">
        <v>97</v>
      </c>
      <c r="B61" t="s">
        <v>86</v>
      </c>
      <c r="C61" t="s">
        <v>35</v>
      </c>
      <c r="D61" t="s">
        <v>13</v>
      </c>
      <c r="E61">
        <v>22</v>
      </c>
      <c r="F61">
        <v>150</v>
      </c>
      <c r="G61">
        <v>3300</v>
      </c>
      <c r="H61">
        <v>0.05</v>
      </c>
      <c r="I61">
        <v>165</v>
      </c>
      <c r="J61" t="s">
        <v>45</v>
      </c>
    </row>
    <row r="62" spans="1:10" x14ac:dyDescent="0.45">
      <c r="A62" t="s">
        <v>98</v>
      </c>
      <c r="B62" t="s">
        <v>86</v>
      </c>
      <c r="C62" t="s">
        <v>12</v>
      </c>
      <c r="D62" t="s">
        <v>32</v>
      </c>
      <c r="E62">
        <v>21</v>
      </c>
      <c r="F62">
        <v>80</v>
      </c>
      <c r="G62">
        <v>1680</v>
      </c>
      <c r="H62">
        <v>0.09</v>
      </c>
      <c r="I62">
        <v>151.19999999999999</v>
      </c>
      <c r="J62" t="s">
        <v>14</v>
      </c>
    </row>
    <row r="63" spans="1:10" x14ac:dyDescent="0.45">
      <c r="A63" t="s">
        <v>99</v>
      </c>
      <c r="B63" t="s">
        <v>86</v>
      </c>
      <c r="C63" t="s">
        <v>12</v>
      </c>
      <c r="D63" t="s">
        <v>28</v>
      </c>
      <c r="E63">
        <v>10</v>
      </c>
      <c r="F63">
        <v>80</v>
      </c>
      <c r="G63">
        <v>800</v>
      </c>
      <c r="H63">
        <v>0.1</v>
      </c>
      <c r="I63">
        <v>80</v>
      </c>
      <c r="J63" t="s">
        <v>18</v>
      </c>
    </row>
    <row r="64" spans="1:10" x14ac:dyDescent="0.45">
      <c r="A64" t="s">
        <v>100</v>
      </c>
      <c r="B64" t="s">
        <v>86</v>
      </c>
      <c r="C64" t="s">
        <v>20</v>
      </c>
      <c r="D64" t="s">
        <v>17</v>
      </c>
      <c r="E64">
        <v>15</v>
      </c>
      <c r="F64">
        <v>230</v>
      </c>
      <c r="G64">
        <v>3450</v>
      </c>
      <c r="H64">
        <v>0.09</v>
      </c>
      <c r="I64">
        <v>310.5</v>
      </c>
      <c r="J64" t="s">
        <v>21</v>
      </c>
    </row>
    <row r="65" spans="1:10" x14ac:dyDescent="0.45">
      <c r="A65" t="s">
        <v>101</v>
      </c>
      <c r="B65" t="s">
        <v>102</v>
      </c>
      <c r="C65" t="s">
        <v>12</v>
      </c>
      <c r="D65" t="s">
        <v>13</v>
      </c>
      <c r="E65">
        <v>14</v>
      </c>
      <c r="F65">
        <v>80</v>
      </c>
      <c r="G65">
        <v>1120</v>
      </c>
      <c r="H65">
        <v>0.08</v>
      </c>
      <c r="I65">
        <v>89.600000000000009</v>
      </c>
      <c r="J65" t="s">
        <v>23</v>
      </c>
    </row>
    <row r="66" spans="1:10" x14ac:dyDescent="0.45">
      <c r="A66" t="s">
        <v>103</v>
      </c>
      <c r="B66" t="s">
        <v>102</v>
      </c>
      <c r="C66" t="s">
        <v>12</v>
      </c>
      <c r="D66" t="s">
        <v>32</v>
      </c>
      <c r="E66">
        <v>10</v>
      </c>
      <c r="F66">
        <v>80</v>
      </c>
      <c r="G66">
        <v>800</v>
      </c>
      <c r="H66">
        <v>0.06</v>
      </c>
      <c r="I66">
        <v>48</v>
      </c>
      <c r="J66" t="s">
        <v>26</v>
      </c>
    </row>
    <row r="67" spans="1:10" x14ac:dyDescent="0.45">
      <c r="A67" t="s">
        <v>104</v>
      </c>
      <c r="B67" t="s">
        <v>102</v>
      </c>
      <c r="C67" t="s">
        <v>35</v>
      </c>
      <c r="D67" t="s">
        <v>13</v>
      </c>
      <c r="E67">
        <v>5</v>
      </c>
      <c r="F67">
        <v>150</v>
      </c>
      <c r="G67">
        <v>750</v>
      </c>
      <c r="H67">
        <v>0.11</v>
      </c>
      <c r="I67">
        <v>82.5</v>
      </c>
      <c r="J67" t="s">
        <v>29</v>
      </c>
    </row>
    <row r="68" spans="1:10" x14ac:dyDescent="0.45">
      <c r="A68" t="s">
        <v>105</v>
      </c>
      <c r="B68" t="s">
        <v>102</v>
      </c>
      <c r="C68" t="s">
        <v>20</v>
      </c>
      <c r="D68" t="s">
        <v>28</v>
      </c>
      <c r="E68">
        <v>3</v>
      </c>
      <c r="F68">
        <v>230</v>
      </c>
      <c r="G68">
        <v>690</v>
      </c>
      <c r="H68">
        <v>0.01</v>
      </c>
      <c r="I68">
        <v>6.9</v>
      </c>
      <c r="J68" t="s">
        <v>33</v>
      </c>
    </row>
    <row r="69" spans="1:10" x14ac:dyDescent="0.45">
      <c r="A69" t="s">
        <v>106</v>
      </c>
      <c r="B69" t="s">
        <v>102</v>
      </c>
      <c r="C69" t="s">
        <v>16</v>
      </c>
      <c r="D69" t="s">
        <v>28</v>
      </c>
      <c r="E69">
        <v>4</v>
      </c>
      <c r="F69">
        <v>40</v>
      </c>
      <c r="G69">
        <v>160</v>
      </c>
      <c r="H69">
        <v>0.05</v>
      </c>
      <c r="I69">
        <v>8</v>
      </c>
      <c r="J69" t="s">
        <v>36</v>
      </c>
    </row>
    <row r="70" spans="1:10" x14ac:dyDescent="0.45">
      <c r="A70" t="s">
        <v>107</v>
      </c>
      <c r="B70" t="s">
        <v>102</v>
      </c>
      <c r="C70" t="s">
        <v>35</v>
      </c>
      <c r="D70" t="s">
        <v>25</v>
      </c>
      <c r="E70">
        <v>18</v>
      </c>
      <c r="F70">
        <v>150</v>
      </c>
      <c r="G70">
        <v>2700</v>
      </c>
      <c r="H70">
        <v>0.06</v>
      </c>
      <c r="I70">
        <v>162</v>
      </c>
      <c r="J70" t="s">
        <v>38</v>
      </c>
    </row>
    <row r="71" spans="1:10" x14ac:dyDescent="0.45">
      <c r="A71" t="s">
        <v>108</v>
      </c>
      <c r="B71" t="s">
        <v>102</v>
      </c>
      <c r="C71" t="s">
        <v>16</v>
      </c>
      <c r="D71" t="s">
        <v>32</v>
      </c>
      <c r="E71">
        <v>20</v>
      </c>
      <c r="F71">
        <v>40</v>
      </c>
      <c r="G71">
        <v>800</v>
      </c>
      <c r="H71">
        <v>0.1</v>
      </c>
      <c r="I71">
        <v>80</v>
      </c>
      <c r="J71" t="s">
        <v>40</v>
      </c>
    </row>
    <row r="72" spans="1:10" x14ac:dyDescent="0.45">
      <c r="A72" t="s">
        <v>109</v>
      </c>
      <c r="B72" t="s">
        <v>102</v>
      </c>
      <c r="C72" t="s">
        <v>12</v>
      </c>
      <c r="D72" t="s">
        <v>28</v>
      </c>
      <c r="E72">
        <v>16</v>
      </c>
      <c r="F72">
        <v>80</v>
      </c>
      <c r="G72">
        <v>1280</v>
      </c>
      <c r="H72">
        <v>0.05</v>
      </c>
      <c r="I72">
        <v>64</v>
      </c>
      <c r="J72" t="s">
        <v>14</v>
      </c>
    </row>
    <row r="73" spans="1:10" x14ac:dyDescent="0.45">
      <c r="A73" t="s">
        <v>110</v>
      </c>
      <c r="B73" t="s">
        <v>102</v>
      </c>
      <c r="C73" t="s">
        <v>16</v>
      </c>
      <c r="D73" t="s">
        <v>25</v>
      </c>
      <c r="E73">
        <v>4</v>
      </c>
      <c r="F73">
        <v>40</v>
      </c>
      <c r="G73">
        <v>160</v>
      </c>
      <c r="H73">
        <v>0.06</v>
      </c>
      <c r="I73">
        <v>9.6</v>
      </c>
      <c r="J73" t="s">
        <v>18</v>
      </c>
    </row>
    <row r="74" spans="1:10" x14ac:dyDescent="0.45">
      <c r="A74" t="s">
        <v>111</v>
      </c>
      <c r="B74" t="s">
        <v>102</v>
      </c>
      <c r="C74" t="s">
        <v>16</v>
      </c>
      <c r="D74" t="s">
        <v>17</v>
      </c>
      <c r="E74">
        <v>4</v>
      </c>
      <c r="F74">
        <v>40</v>
      </c>
      <c r="G74">
        <v>160</v>
      </c>
      <c r="H74">
        <v>0.03</v>
      </c>
      <c r="I74">
        <v>4.8</v>
      </c>
      <c r="J74" t="s">
        <v>21</v>
      </c>
    </row>
    <row r="75" spans="1:10" x14ac:dyDescent="0.45">
      <c r="A75" t="s">
        <v>112</v>
      </c>
      <c r="B75" t="s">
        <v>102</v>
      </c>
      <c r="C75" t="s">
        <v>16</v>
      </c>
      <c r="D75" t="s">
        <v>17</v>
      </c>
      <c r="E75">
        <v>15</v>
      </c>
      <c r="F75">
        <v>40</v>
      </c>
      <c r="G75">
        <v>600</v>
      </c>
      <c r="H75">
        <v>0.02</v>
      </c>
      <c r="I75">
        <v>12</v>
      </c>
      <c r="J75" t="s">
        <v>23</v>
      </c>
    </row>
    <row r="76" spans="1:10" x14ac:dyDescent="0.45">
      <c r="A76" t="s">
        <v>113</v>
      </c>
      <c r="B76" t="s">
        <v>102</v>
      </c>
      <c r="C76" t="s">
        <v>16</v>
      </c>
      <c r="D76" t="s">
        <v>25</v>
      </c>
      <c r="E76">
        <v>20</v>
      </c>
      <c r="F76">
        <v>40</v>
      </c>
      <c r="G76">
        <v>800</v>
      </c>
      <c r="H76">
        <v>0.01</v>
      </c>
      <c r="I76">
        <v>8</v>
      </c>
      <c r="J76" t="s">
        <v>26</v>
      </c>
    </row>
    <row r="77" spans="1:10" x14ac:dyDescent="0.45">
      <c r="A77" t="s">
        <v>114</v>
      </c>
      <c r="B77" t="s">
        <v>102</v>
      </c>
      <c r="C77" t="s">
        <v>31</v>
      </c>
      <c r="D77" t="s">
        <v>32</v>
      </c>
      <c r="E77">
        <v>14</v>
      </c>
      <c r="F77">
        <v>16</v>
      </c>
      <c r="G77">
        <v>224</v>
      </c>
      <c r="H77">
        <v>0.06</v>
      </c>
      <c r="I77">
        <v>13.44</v>
      </c>
      <c r="J77" t="s">
        <v>29</v>
      </c>
    </row>
    <row r="78" spans="1:10" x14ac:dyDescent="0.45">
      <c r="A78" t="s">
        <v>115</v>
      </c>
      <c r="B78" t="s">
        <v>116</v>
      </c>
      <c r="C78" t="s">
        <v>35</v>
      </c>
      <c r="D78" t="s">
        <v>25</v>
      </c>
      <c r="E78">
        <v>11</v>
      </c>
      <c r="F78">
        <v>150</v>
      </c>
      <c r="G78">
        <v>1650</v>
      </c>
      <c r="H78">
        <v>0.11</v>
      </c>
      <c r="I78">
        <v>181.5</v>
      </c>
      <c r="J78" t="s">
        <v>33</v>
      </c>
    </row>
    <row r="79" spans="1:10" x14ac:dyDescent="0.45">
      <c r="A79" t="s">
        <v>117</v>
      </c>
      <c r="B79" t="s">
        <v>116</v>
      </c>
      <c r="C79" t="s">
        <v>35</v>
      </c>
      <c r="D79" t="s">
        <v>25</v>
      </c>
      <c r="E79">
        <v>9</v>
      </c>
      <c r="F79">
        <v>150</v>
      </c>
      <c r="G79">
        <v>1350</v>
      </c>
      <c r="H79">
        <v>0.02</v>
      </c>
      <c r="I79">
        <v>27</v>
      </c>
      <c r="J79" t="s">
        <v>36</v>
      </c>
    </row>
    <row r="80" spans="1:10" x14ac:dyDescent="0.45">
      <c r="A80" t="s">
        <v>118</v>
      </c>
      <c r="B80" t="s">
        <v>116</v>
      </c>
      <c r="C80" t="s">
        <v>31</v>
      </c>
      <c r="D80" t="s">
        <v>32</v>
      </c>
      <c r="E80">
        <v>11</v>
      </c>
      <c r="F80">
        <v>16</v>
      </c>
      <c r="G80">
        <v>176</v>
      </c>
      <c r="H80">
        <v>0.12</v>
      </c>
      <c r="I80">
        <v>21.119999999999997</v>
      </c>
      <c r="J80" t="s">
        <v>38</v>
      </c>
    </row>
    <row r="81" spans="1:10" x14ac:dyDescent="0.45">
      <c r="A81" t="s">
        <v>119</v>
      </c>
      <c r="B81" t="s">
        <v>116</v>
      </c>
      <c r="C81" t="s">
        <v>16</v>
      </c>
      <c r="D81" t="s">
        <v>25</v>
      </c>
      <c r="E81">
        <v>13</v>
      </c>
      <c r="F81">
        <v>40</v>
      </c>
      <c r="G81">
        <v>520</v>
      </c>
      <c r="H81">
        <v>0.02</v>
      </c>
      <c r="I81">
        <v>10.4</v>
      </c>
      <c r="J81" t="s">
        <v>40</v>
      </c>
    </row>
    <row r="82" spans="1:10" x14ac:dyDescent="0.45">
      <c r="A82" t="s">
        <v>120</v>
      </c>
      <c r="B82" t="s">
        <v>116</v>
      </c>
      <c r="C82" t="s">
        <v>16</v>
      </c>
      <c r="D82" t="s">
        <v>25</v>
      </c>
      <c r="E82">
        <v>4</v>
      </c>
      <c r="F82">
        <v>40</v>
      </c>
      <c r="G82">
        <v>160</v>
      </c>
      <c r="H82">
        <v>0.1</v>
      </c>
      <c r="I82">
        <v>16</v>
      </c>
      <c r="J82" t="s">
        <v>42</v>
      </c>
    </row>
    <row r="83" spans="1:10" x14ac:dyDescent="0.45">
      <c r="A83" t="s">
        <v>121</v>
      </c>
      <c r="B83" t="s">
        <v>116</v>
      </c>
      <c r="C83" t="s">
        <v>20</v>
      </c>
      <c r="D83" t="s">
        <v>13</v>
      </c>
      <c r="E83">
        <v>3</v>
      </c>
      <c r="F83">
        <v>230</v>
      </c>
      <c r="G83">
        <v>690</v>
      </c>
      <c r="H83">
        <v>0.11</v>
      </c>
      <c r="I83">
        <v>75.900000000000006</v>
      </c>
      <c r="J83" t="s">
        <v>45</v>
      </c>
    </row>
    <row r="84" spans="1:10" x14ac:dyDescent="0.45">
      <c r="A84" t="s">
        <v>122</v>
      </c>
      <c r="B84" t="s">
        <v>116</v>
      </c>
      <c r="C84" t="s">
        <v>12</v>
      </c>
      <c r="D84" t="s">
        <v>25</v>
      </c>
      <c r="E84">
        <v>6</v>
      </c>
      <c r="F84">
        <v>80</v>
      </c>
      <c r="G84">
        <v>480</v>
      </c>
      <c r="H84">
        <v>0.09</v>
      </c>
      <c r="I84">
        <v>43.199999999999996</v>
      </c>
      <c r="J84" t="s">
        <v>14</v>
      </c>
    </row>
    <row r="85" spans="1:10" x14ac:dyDescent="0.45">
      <c r="A85" t="s">
        <v>123</v>
      </c>
      <c r="B85" t="s">
        <v>116</v>
      </c>
      <c r="C85" t="s">
        <v>35</v>
      </c>
      <c r="D85" t="s">
        <v>13</v>
      </c>
      <c r="E85">
        <v>9</v>
      </c>
      <c r="F85">
        <v>150</v>
      </c>
      <c r="G85">
        <v>1350</v>
      </c>
      <c r="H85">
        <v>0.1</v>
      </c>
      <c r="I85">
        <v>135</v>
      </c>
      <c r="J85" t="s">
        <v>18</v>
      </c>
    </row>
    <row r="86" spans="1:10" x14ac:dyDescent="0.45">
      <c r="A86" t="s">
        <v>124</v>
      </c>
      <c r="B86" t="s">
        <v>116</v>
      </c>
      <c r="C86" t="s">
        <v>12</v>
      </c>
      <c r="D86" t="s">
        <v>17</v>
      </c>
      <c r="E86">
        <v>14</v>
      </c>
      <c r="F86">
        <v>80</v>
      </c>
      <c r="G86">
        <v>1120</v>
      </c>
      <c r="H86">
        <v>0.11</v>
      </c>
      <c r="I86">
        <v>123.2</v>
      </c>
      <c r="J86" t="s">
        <v>21</v>
      </c>
    </row>
    <row r="87" spans="1:10" x14ac:dyDescent="0.45">
      <c r="A87" t="s">
        <v>125</v>
      </c>
      <c r="B87" t="s">
        <v>116</v>
      </c>
      <c r="C87" t="s">
        <v>12</v>
      </c>
      <c r="D87" t="s">
        <v>13</v>
      </c>
      <c r="E87">
        <v>18</v>
      </c>
      <c r="F87">
        <v>80</v>
      </c>
      <c r="G87">
        <v>1440</v>
      </c>
      <c r="H87">
        <v>0.02</v>
      </c>
      <c r="I87">
        <v>28.8</v>
      </c>
      <c r="J87" t="s">
        <v>23</v>
      </c>
    </row>
    <row r="88" spans="1:10" x14ac:dyDescent="0.45">
      <c r="A88" t="s">
        <v>126</v>
      </c>
      <c r="B88" t="s">
        <v>116</v>
      </c>
      <c r="C88" t="s">
        <v>16</v>
      </c>
      <c r="D88" t="s">
        <v>13</v>
      </c>
      <c r="E88">
        <v>20</v>
      </c>
      <c r="F88">
        <v>40</v>
      </c>
      <c r="G88">
        <v>800</v>
      </c>
      <c r="H88">
        <v>0.04</v>
      </c>
      <c r="I88">
        <v>32</v>
      </c>
      <c r="J88" t="s">
        <v>26</v>
      </c>
    </row>
    <row r="89" spans="1:10" x14ac:dyDescent="0.45">
      <c r="A89" t="s">
        <v>127</v>
      </c>
      <c r="B89" t="s">
        <v>128</v>
      </c>
      <c r="C89" t="s">
        <v>31</v>
      </c>
      <c r="D89" t="s">
        <v>25</v>
      </c>
      <c r="E89">
        <v>8</v>
      </c>
      <c r="F89">
        <v>16</v>
      </c>
      <c r="G89">
        <v>128</v>
      </c>
      <c r="H89">
        <v>0.03</v>
      </c>
      <c r="I89">
        <v>3.84</v>
      </c>
      <c r="J89" t="s">
        <v>29</v>
      </c>
    </row>
    <row r="90" spans="1:10" x14ac:dyDescent="0.45">
      <c r="A90" t="s">
        <v>129</v>
      </c>
      <c r="B90" t="s">
        <v>128</v>
      </c>
      <c r="C90" t="s">
        <v>12</v>
      </c>
      <c r="D90" t="s">
        <v>17</v>
      </c>
      <c r="E90">
        <v>14</v>
      </c>
      <c r="F90">
        <v>80</v>
      </c>
      <c r="G90">
        <v>1120</v>
      </c>
      <c r="H90">
        <v>0.06</v>
      </c>
      <c r="I90">
        <v>67.2</v>
      </c>
      <c r="J90" t="s">
        <v>33</v>
      </c>
    </row>
    <row r="91" spans="1:10" x14ac:dyDescent="0.45">
      <c r="A91" t="s">
        <v>130</v>
      </c>
      <c r="B91" t="s">
        <v>128</v>
      </c>
      <c r="C91" t="s">
        <v>35</v>
      </c>
      <c r="D91" t="s">
        <v>13</v>
      </c>
      <c r="E91">
        <v>20</v>
      </c>
      <c r="F91">
        <v>150</v>
      </c>
      <c r="G91">
        <v>3000</v>
      </c>
      <c r="H91">
        <v>0.01</v>
      </c>
      <c r="I91">
        <v>30</v>
      </c>
      <c r="J91" t="s">
        <v>36</v>
      </c>
    </row>
    <row r="92" spans="1:10" x14ac:dyDescent="0.45">
      <c r="A92" t="s">
        <v>131</v>
      </c>
      <c r="B92" t="s">
        <v>128</v>
      </c>
      <c r="C92" t="s">
        <v>16</v>
      </c>
      <c r="D92" t="s">
        <v>28</v>
      </c>
      <c r="E92">
        <v>15</v>
      </c>
      <c r="F92">
        <v>40</v>
      </c>
      <c r="G92">
        <v>600</v>
      </c>
      <c r="H92">
        <v>0.03</v>
      </c>
      <c r="I92">
        <v>18</v>
      </c>
      <c r="J92" t="s">
        <v>38</v>
      </c>
    </row>
    <row r="93" spans="1:10" x14ac:dyDescent="0.45">
      <c r="A93" t="s">
        <v>132</v>
      </c>
      <c r="B93" t="s">
        <v>128</v>
      </c>
      <c r="C93" t="s">
        <v>16</v>
      </c>
      <c r="D93" t="s">
        <v>17</v>
      </c>
      <c r="E93">
        <v>18</v>
      </c>
      <c r="F93">
        <v>40</v>
      </c>
      <c r="G93">
        <v>720</v>
      </c>
      <c r="H93">
        <v>0.08</v>
      </c>
      <c r="I93">
        <v>57.6</v>
      </c>
      <c r="J93" t="s">
        <v>40</v>
      </c>
    </row>
    <row r="94" spans="1:10" x14ac:dyDescent="0.45">
      <c r="A94" t="s">
        <v>133</v>
      </c>
      <c r="B94" t="s">
        <v>128</v>
      </c>
      <c r="C94" t="s">
        <v>16</v>
      </c>
      <c r="D94" t="s">
        <v>32</v>
      </c>
      <c r="E94">
        <v>11</v>
      </c>
      <c r="F94">
        <v>40</v>
      </c>
      <c r="G94">
        <v>440</v>
      </c>
      <c r="H94">
        <v>0.05</v>
      </c>
      <c r="I94">
        <v>22</v>
      </c>
      <c r="J94" t="s">
        <v>42</v>
      </c>
    </row>
    <row r="95" spans="1:10" x14ac:dyDescent="0.45">
      <c r="A95" t="s">
        <v>134</v>
      </c>
      <c r="B95" t="s">
        <v>135</v>
      </c>
      <c r="C95" t="s">
        <v>16</v>
      </c>
      <c r="D95" t="s">
        <v>32</v>
      </c>
      <c r="E95">
        <v>23</v>
      </c>
      <c r="F95">
        <v>40</v>
      </c>
      <c r="G95">
        <v>920</v>
      </c>
      <c r="H95">
        <v>0.04</v>
      </c>
      <c r="I95">
        <v>36.800000000000004</v>
      </c>
      <c r="J95" t="s">
        <v>45</v>
      </c>
    </row>
    <row r="96" spans="1:10" x14ac:dyDescent="0.45">
      <c r="A96" t="s">
        <v>136</v>
      </c>
      <c r="B96" t="s">
        <v>135</v>
      </c>
      <c r="C96" t="s">
        <v>31</v>
      </c>
      <c r="D96" t="s">
        <v>32</v>
      </c>
      <c r="E96">
        <v>17</v>
      </c>
      <c r="F96">
        <v>16</v>
      </c>
      <c r="G96">
        <v>272</v>
      </c>
      <c r="H96">
        <v>0.1</v>
      </c>
      <c r="I96">
        <v>27.200000000000003</v>
      </c>
      <c r="J96" t="s">
        <v>14</v>
      </c>
    </row>
    <row r="97" spans="1:10" x14ac:dyDescent="0.45">
      <c r="A97" t="s">
        <v>137</v>
      </c>
      <c r="B97" t="s">
        <v>135</v>
      </c>
      <c r="C97" t="s">
        <v>31</v>
      </c>
      <c r="D97" t="s">
        <v>17</v>
      </c>
      <c r="E97">
        <v>4</v>
      </c>
      <c r="F97">
        <v>16</v>
      </c>
      <c r="G97">
        <v>64</v>
      </c>
      <c r="H97">
        <v>7.0000000000000007E-2</v>
      </c>
      <c r="I97">
        <v>4.4800000000000004</v>
      </c>
      <c r="J97" t="s">
        <v>18</v>
      </c>
    </row>
    <row r="98" spans="1:10" x14ac:dyDescent="0.45">
      <c r="A98" t="s">
        <v>138</v>
      </c>
      <c r="B98" t="s">
        <v>135</v>
      </c>
      <c r="C98" t="s">
        <v>12</v>
      </c>
      <c r="D98" t="s">
        <v>25</v>
      </c>
      <c r="E98">
        <v>23</v>
      </c>
      <c r="F98">
        <v>80</v>
      </c>
      <c r="G98">
        <v>1840</v>
      </c>
      <c r="H98">
        <v>0.05</v>
      </c>
      <c r="I98">
        <v>92</v>
      </c>
      <c r="J98" t="s">
        <v>21</v>
      </c>
    </row>
    <row r="99" spans="1:10" x14ac:dyDescent="0.45">
      <c r="A99" t="s">
        <v>139</v>
      </c>
      <c r="B99" t="s">
        <v>135</v>
      </c>
      <c r="C99" t="s">
        <v>20</v>
      </c>
      <c r="D99" t="s">
        <v>25</v>
      </c>
      <c r="E99">
        <v>10</v>
      </c>
      <c r="F99">
        <v>230</v>
      </c>
      <c r="G99">
        <v>2300</v>
      </c>
      <c r="H99">
        <v>0.02</v>
      </c>
      <c r="I99">
        <v>46</v>
      </c>
      <c r="J99" t="s">
        <v>23</v>
      </c>
    </row>
    <row r="100" spans="1:10" x14ac:dyDescent="0.45">
      <c r="A100" t="s">
        <v>140</v>
      </c>
      <c r="B100" t="s">
        <v>135</v>
      </c>
      <c r="C100" t="s">
        <v>31</v>
      </c>
      <c r="D100" t="s">
        <v>25</v>
      </c>
      <c r="E100">
        <v>14</v>
      </c>
      <c r="F100">
        <v>16</v>
      </c>
      <c r="G100">
        <v>224</v>
      </c>
      <c r="H100">
        <v>0.01</v>
      </c>
      <c r="I100">
        <v>2.2400000000000002</v>
      </c>
      <c r="J100" t="s">
        <v>26</v>
      </c>
    </row>
    <row r="101" spans="1:10" x14ac:dyDescent="0.45">
      <c r="A101" t="s">
        <v>141</v>
      </c>
      <c r="B101" t="s">
        <v>135</v>
      </c>
      <c r="C101" t="s">
        <v>16</v>
      </c>
      <c r="D101" t="s">
        <v>17</v>
      </c>
      <c r="E101">
        <v>19</v>
      </c>
      <c r="F101">
        <v>40</v>
      </c>
      <c r="G101">
        <v>760</v>
      </c>
      <c r="H101">
        <v>0.1</v>
      </c>
      <c r="I101">
        <v>76</v>
      </c>
      <c r="J101" t="s">
        <v>29</v>
      </c>
    </row>
    <row r="102" spans="1:10" x14ac:dyDescent="0.45">
      <c r="A102" t="s">
        <v>142</v>
      </c>
      <c r="B102" t="s">
        <v>135</v>
      </c>
      <c r="C102" t="s">
        <v>12</v>
      </c>
      <c r="D102" t="s">
        <v>32</v>
      </c>
      <c r="E102">
        <v>22</v>
      </c>
      <c r="F102">
        <v>80</v>
      </c>
      <c r="G102">
        <v>1760</v>
      </c>
      <c r="H102">
        <v>0.09</v>
      </c>
      <c r="I102">
        <v>158.4</v>
      </c>
      <c r="J102" t="s">
        <v>33</v>
      </c>
    </row>
    <row r="103" spans="1:10" x14ac:dyDescent="0.45">
      <c r="A103" t="s">
        <v>143</v>
      </c>
      <c r="B103" t="s">
        <v>135</v>
      </c>
      <c r="C103" t="s">
        <v>31</v>
      </c>
      <c r="D103" t="s">
        <v>13</v>
      </c>
      <c r="E103">
        <v>18</v>
      </c>
      <c r="F103">
        <v>16</v>
      </c>
      <c r="G103">
        <v>288</v>
      </c>
      <c r="H103">
        <v>0.05</v>
      </c>
      <c r="I103">
        <v>14.4</v>
      </c>
      <c r="J103" t="s">
        <v>36</v>
      </c>
    </row>
    <row r="104" spans="1:10" x14ac:dyDescent="0.45">
      <c r="A104" t="s">
        <v>144</v>
      </c>
      <c r="B104" t="s">
        <v>135</v>
      </c>
      <c r="C104" t="s">
        <v>16</v>
      </c>
      <c r="D104" t="s">
        <v>13</v>
      </c>
      <c r="E104">
        <v>18</v>
      </c>
      <c r="F104">
        <v>40</v>
      </c>
      <c r="G104">
        <v>720</v>
      </c>
      <c r="H104">
        <v>0.11</v>
      </c>
      <c r="I104">
        <v>79.2</v>
      </c>
      <c r="J104" t="s">
        <v>38</v>
      </c>
    </row>
    <row r="105" spans="1:10" x14ac:dyDescent="0.45">
      <c r="A105" t="s">
        <v>145</v>
      </c>
      <c r="B105" t="s">
        <v>135</v>
      </c>
      <c r="C105" t="s">
        <v>16</v>
      </c>
      <c r="D105" t="s">
        <v>32</v>
      </c>
      <c r="E105">
        <v>21</v>
      </c>
      <c r="F105">
        <v>40</v>
      </c>
      <c r="G105">
        <v>840</v>
      </c>
      <c r="H105">
        <v>0.01</v>
      </c>
      <c r="I105">
        <v>8.4</v>
      </c>
      <c r="J105" t="s">
        <v>40</v>
      </c>
    </row>
    <row r="106" spans="1:10" x14ac:dyDescent="0.45">
      <c r="A106" t="s">
        <v>146</v>
      </c>
      <c r="B106" t="s">
        <v>135</v>
      </c>
      <c r="C106" t="s">
        <v>12</v>
      </c>
      <c r="D106" t="s">
        <v>13</v>
      </c>
      <c r="E106">
        <v>6</v>
      </c>
      <c r="F106">
        <v>80</v>
      </c>
      <c r="G106">
        <v>480</v>
      </c>
      <c r="H106">
        <v>7.0000000000000007E-2</v>
      </c>
      <c r="I106">
        <v>33.6</v>
      </c>
      <c r="J106" t="s">
        <v>42</v>
      </c>
    </row>
    <row r="107" spans="1:10" x14ac:dyDescent="0.45">
      <c r="A107" t="s">
        <v>147</v>
      </c>
      <c r="B107" t="s">
        <v>135</v>
      </c>
      <c r="C107" t="s">
        <v>35</v>
      </c>
      <c r="D107" t="s">
        <v>32</v>
      </c>
      <c r="E107">
        <v>17</v>
      </c>
      <c r="F107">
        <v>150</v>
      </c>
      <c r="G107">
        <v>2550</v>
      </c>
      <c r="H107">
        <v>0.02</v>
      </c>
      <c r="I107">
        <v>51</v>
      </c>
      <c r="J107" t="s">
        <v>45</v>
      </c>
    </row>
    <row r="108" spans="1:10" x14ac:dyDescent="0.45">
      <c r="A108" t="s">
        <v>148</v>
      </c>
      <c r="B108" t="s">
        <v>135</v>
      </c>
      <c r="C108" t="s">
        <v>12</v>
      </c>
      <c r="D108" t="s">
        <v>25</v>
      </c>
      <c r="E108">
        <v>16</v>
      </c>
      <c r="F108">
        <v>80</v>
      </c>
      <c r="G108">
        <v>1280</v>
      </c>
      <c r="H108">
        <v>0.02</v>
      </c>
      <c r="I108">
        <v>25.6</v>
      </c>
      <c r="J108" t="s">
        <v>14</v>
      </c>
    </row>
    <row r="109" spans="1:10" x14ac:dyDescent="0.45">
      <c r="A109" t="s">
        <v>149</v>
      </c>
      <c r="B109" t="s">
        <v>135</v>
      </c>
      <c r="C109" t="s">
        <v>16</v>
      </c>
      <c r="D109" t="s">
        <v>17</v>
      </c>
      <c r="E109">
        <v>15</v>
      </c>
      <c r="F109">
        <v>40</v>
      </c>
      <c r="G109">
        <v>600</v>
      </c>
      <c r="H109">
        <v>0.04</v>
      </c>
      <c r="I109">
        <v>24</v>
      </c>
      <c r="J109" t="s">
        <v>18</v>
      </c>
    </row>
    <row r="110" spans="1:10" x14ac:dyDescent="0.45">
      <c r="A110" t="s">
        <v>150</v>
      </c>
      <c r="B110" t="s">
        <v>135</v>
      </c>
      <c r="C110" t="s">
        <v>20</v>
      </c>
      <c r="D110" t="s">
        <v>28</v>
      </c>
      <c r="E110">
        <v>2</v>
      </c>
      <c r="F110">
        <v>230</v>
      </c>
      <c r="G110">
        <v>460</v>
      </c>
      <c r="H110">
        <v>0.08</v>
      </c>
      <c r="I110">
        <v>36.800000000000004</v>
      </c>
      <c r="J110" t="s">
        <v>21</v>
      </c>
    </row>
    <row r="111" spans="1:10" x14ac:dyDescent="0.45">
      <c r="A111" t="s">
        <v>151</v>
      </c>
      <c r="B111" t="s">
        <v>135</v>
      </c>
      <c r="C111" t="s">
        <v>16</v>
      </c>
      <c r="D111" t="s">
        <v>32</v>
      </c>
      <c r="E111">
        <v>3</v>
      </c>
      <c r="F111">
        <v>40</v>
      </c>
      <c r="G111">
        <v>120</v>
      </c>
      <c r="H111">
        <v>0.03</v>
      </c>
      <c r="I111">
        <v>3.5999999999999996</v>
      </c>
      <c r="J111" t="s">
        <v>23</v>
      </c>
    </row>
    <row r="112" spans="1:10" x14ac:dyDescent="0.45">
      <c r="A112" t="s">
        <v>152</v>
      </c>
      <c r="B112" t="s">
        <v>135</v>
      </c>
      <c r="C112" t="s">
        <v>20</v>
      </c>
      <c r="D112" t="s">
        <v>32</v>
      </c>
      <c r="E112">
        <v>21</v>
      </c>
      <c r="F112">
        <v>230</v>
      </c>
      <c r="G112">
        <v>4830</v>
      </c>
      <c r="H112">
        <v>0.05</v>
      </c>
      <c r="I112">
        <v>241.5</v>
      </c>
      <c r="J112" t="s">
        <v>26</v>
      </c>
    </row>
    <row r="113" spans="1:10" x14ac:dyDescent="0.45">
      <c r="A113" t="s">
        <v>153</v>
      </c>
      <c r="B113" t="s">
        <v>135</v>
      </c>
      <c r="C113" t="s">
        <v>35</v>
      </c>
      <c r="D113" t="s">
        <v>13</v>
      </c>
      <c r="E113">
        <v>11</v>
      </c>
      <c r="F113">
        <v>150</v>
      </c>
      <c r="G113">
        <v>1650</v>
      </c>
      <c r="H113">
        <v>0.05</v>
      </c>
      <c r="I113">
        <v>82.5</v>
      </c>
      <c r="J113" t="s">
        <v>29</v>
      </c>
    </row>
    <row r="114" spans="1:10" x14ac:dyDescent="0.45">
      <c r="A114" t="s">
        <v>154</v>
      </c>
      <c r="B114" t="s">
        <v>155</v>
      </c>
      <c r="C114" t="s">
        <v>35</v>
      </c>
      <c r="D114" t="s">
        <v>17</v>
      </c>
      <c r="E114">
        <v>15</v>
      </c>
      <c r="F114">
        <v>150</v>
      </c>
      <c r="G114">
        <v>2250</v>
      </c>
      <c r="H114">
        <v>0.02</v>
      </c>
      <c r="I114">
        <v>45</v>
      </c>
      <c r="J114" t="s">
        <v>33</v>
      </c>
    </row>
    <row r="115" spans="1:10" x14ac:dyDescent="0.45">
      <c r="A115" t="s">
        <v>156</v>
      </c>
      <c r="B115" t="s">
        <v>155</v>
      </c>
      <c r="C115" t="s">
        <v>12</v>
      </c>
      <c r="D115" t="s">
        <v>28</v>
      </c>
      <c r="E115">
        <v>16</v>
      </c>
      <c r="F115">
        <v>80</v>
      </c>
      <c r="G115">
        <v>1280</v>
      </c>
      <c r="H115">
        <v>0.1</v>
      </c>
      <c r="I115">
        <v>128</v>
      </c>
      <c r="J115" t="s">
        <v>36</v>
      </c>
    </row>
    <row r="116" spans="1:10" x14ac:dyDescent="0.45">
      <c r="A116" t="s">
        <v>157</v>
      </c>
      <c r="B116" t="s">
        <v>155</v>
      </c>
      <c r="C116" t="s">
        <v>20</v>
      </c>
      <c r="D116" t="s">
        <v>32</v>
      </c>
      <c r="E116">
        <v>17</v>
      </c>
      <c r="F116">
        <v>230</v>
      </c>
      <c r="G116">
        <v>3910</v>
      </c>
      <c r="H116">
        <v>0.11</v>
      </c>
      <c r="I116">
        <v>430.1</v>
      </c>
      <c r="J116" t="s">
        <v>38</v>
      </c>
    </row>
    <row r="117" spans="1:10" x14ac:dyDescent="0.45">
      <c r="A117" t="s">
        <v>158</v>
      </c>
      <c r="B117" t="s">
        <v>155</v>
      </c>
      <c r="C117" t="s">
        <v>16</v>
      </c>
      <c r="D117" t="s">
        <v>32</v>
      </c>
      <c r="E117">
        <v>16</v>
      </c>
      <c r="F117">
        <v>40</v>
      </c>
      <c r="G117">
        <v>640</v>
      </c>
      <c r="H117">
        <v>0.11</v>
      </c>
      <c r="I117">
        <v>70.400000000000006</v>
      </c>
      <c r="J117" t="s">
        <v>40</v>
      </c>
    </row>
    <row r="118" spans="1:10" x14ac:dyDescent="0.45">
      <c r="A118" t="s">
        <v>159</v>
      </c>
      <c r="B118" t="s">
        <v>155</v>
      </c>
      <c r="C118" t="s">
        <v>12</v>
      </c>
      <c r="D118" t="s">
        <v>28</v>
      </c>
      <c r="E118">
        <v>2</v>
      </c>
      <c r="F118">
        <v>80</v>
      </c>
      <c r="G118">
        <v>160</v>
      </c>
      <c r="H118">
        <v>0.08</v>
      </c>
      <c r="I118">
        <v>12.8</v>
      </c>
      <c r="J118" t="s">
        <v>42</v>
      </c>
    </row>
    <row r="119" spans="1:10" x14ac:dyDescent="0.45">
      <c r="A119" t="s">
        <v>160</v>
      </c>
      <c r="B119" t="s">
        <v>155</v>
      </c>
      <c r="C119" t="s">
        <v>35</v>
      </c>
      <c r="D119" t="s">
        <v>17</v>
      </c>
      <c r="E119">
        <v>22</v>
      </c>
      <c r="F119">
        <v>150</v>
      </c>
      <c r="G119">
        <v>3300</v>
      </c>
      <c r="H119">
        <v>0.02</v>
      </c>
      <c r="I119">
        <v>66</v>
      </c>
      <c r="J119" t="s">
        <v>45</v>
      </c>
    </row>
    <row r="120" spans="1:10" x14ac:dyDescent="0.45">
      <c r="A120" t="s">
        <v>161</v>
      </c>
      <c r="B120" t="s">
        <v>155</v>
      </c>
      <c r="C120" t="s">
        <v>12</v>
      </c>
      <c r="D120" t="s">
        <v>13</v>
      </c>
      <c r="E120">
        <v>16</v>
      </c>
      <c r="F120">
        <v>80</v>
      </c>
      <c r="G120">
        <v>1280</v>
      </c>
      <c r="H120">
        <v>0.03</v>
      </c>
      <c r="I120">
        <v>38.4</v>
      </c>
      <c r="J120" t="s">
        <v>14</v>
      </c>
    </row>
    <row r="121" spans="1:10" x14ac:dyDescent="0.45">
      <c r="A121" t="s">
        <v>162</v>
      </c>
      <c r="B121" t="s">
        <v>163</v>
      </c>
      <c r="C121" t="s">
        <v>31</v>
      </c>
      <c r="D121" t="s">
        <v>13</v>
      </c>
      <c r="E121">
        <v>20</v>
      </c>
      <c r="F121">
        <v>16</v>
      </c>
      <c r="G121">
        <v>320</v>
      </c>
      <c r="H121">
        <v>0.11</v>
      </c>
      <c r="I121">
        <v>35.200000000000003</v>
      </c>
      <c r="J121" t="s">
        <v>18</v>
      </c>
    </row>
    <row r="122" spans="1:10" x14ac:dyDescent="0.45">
      <c r="A122" t="s">
        <v>164</v>
      </c>
      <c r="B122" t="s">
        <v>163</v>
      </c>
      <c r="C122" t="s">
        <v>12</v>
      </c>
      <c r="D122" t="s">
        <v>32</v>
      </c>
      <c r="E122">
        <v>9</v>
      </c>
      <c r="F122">
        <v>80</v>
      </c>
      <c r="G122">
        <v>720</v>
      </c>
      <c r="H122">
        <v>7.0000000000000007E-2</v>
      </c>
      <c r="I122">
        <v>50.400000000000006</v>
      </c>
      <c r="J122" t="s">
        <v>21</v>
      </c>
    </row>
    <row r="123" spans="1:10" x14ac:dyDescent="0.45">
      <c r="A123" t="s">
        <v>165</v>
      </c>
      <c r="B123" t="s">
        <v>163</v>
      </c>
      <c r="C123" t="s">
        <v>20</v>
      </c>
      <c r="D123" t="s">
        <v>32</v>
      </c>
      <c r="E123">
        <v>5</v>
      </c>
      <c r="F123">
        <v>230</v>
      </c>
      <c r="G123">
        <v>1150</v>
      </c>
      <c r="H123">
        <v>0.12</v>
      </c>
      <c r="I123">
        <v>138</v>
      </c>
      <c r="J123" t="s">
        <v>23</v>
      </c>
    </row>
    <row r="124" spans="1:10" x14ac:dyDescent="0.45">
      <c r="A124" t="s">
        <v>166</v>
      </c>
      <c r="B124" t="s">
        <v>163</v>
      </c>
      <c r="C124" t="s">
        <v>31</v>
      </c>
      <c r="D124" t="s">
        <v>13</v>
      </c>
      <c r="E124">
        <v>20</v>
      </c>
      <c r="F124">
        <v>16</v>
      </c>
      <c r="G124">
        <v>320</v>
      </c>
      <c r="H124">
        <v>0.01</v>
      </c>
      <c r="I124">
        <v>3.2</v>
      </c>
      <c r="J124" t="s">
        <v>26</v>
      </c>
    </row>
    <row r="125" spans="1:10" x14ac:dyDescent="0.45">
      <c r="A125" t="s">
        <v>167</v>
      </c>
      <c r="B125" t="s">
        <v>163</v>
      </c>
      <c r="C125" t="s">
        <v>31</v>
      </c>
      <c r="D125" t="s">
        <v>13</v>
      </c>
      <c r="E125">
        <v>16</v>
      </c>
      <c r="F125">
        <v>16</v>
      </c>
      <c r="G125">
        <v>256</v>
      </c>
      <c r="H125">
        <v>0.03</v>
      </c>
      <c r="I125">
        <v>7.68</v>
      </c>
      <c r="J125" t="s">
        <v>29</v>
      </c>
    </row>
    <row r="126" spans="1:10" x14ac:dyDescent="0.45">
      <c r="A126" t="s">
        <v>168</v>
      </c>
      <c r="B126" t="s">
        <v>163</v>
      </c>
      <c r="C126" t="s">
        <v>35</v>
      </c>
      <c r="D126" t="s">
        <v>28</v>
      </c>
      <c r="E126">
        <v>15</v>
      </c>
      <c r="F126">
        <v>150</v>
      </c>
      <c r="G126">
        <v>2250</v>
      </c>
      <c r="H126">
        <v>0.05</v>
      </c>
      <c r="I126">
        <v>112.5</v>
      </c>
      <c r="J126" t="s">
        <v>33</v>
      </c>
    </row>
    <row r="127" spans="1:10" x14ac:dyDescent="0.45">
      <c r="A127" t="s">
        <v>169</v>
      </c>
      <c r="B127" t="s">
        <v>163</v>
      </c>
      <c r="C127" t="s">
        <v>20</v>
      </c>
      <c r="D127" t="s">
        <v>17</v>
      </c>
      <c r="E127">
        <v>19</v>
      </c>
      <c r="F127">
        <v>230</v>
      </c>
      <c r="G127">
        <v>4370</v>
      </c>
      <c r="H127">
        <v>0.11</v>
      </c>
      <c r="I127">
        <v>480.7</v>
      </c>
      <c r="J127" t="s">
        <v>36</v>
      </c>
    </row>
    <row r="128" spans="1:10" x14ac:dyDescent="0.45">
      <c r="A128" t="s">
        <v>170</v>
      </c>
      <c r="B128" t="s">
        <v>171</v>
      </c>
      <c r="C128" t="s">
        <v>35</v>
      </c>
      <c r="D128" t="s">
        <v>25</v>
      </c>
      <c r="E128">
        <v>2</v>
      </c>
      <c r="F128">
        <v>150</v>
      </c>
      <c r="G128">
        <v>300</v>
      </c>
      <c r="H128">
        <v>0.02</v>
      </c>
      <c r="I128">
        <v>6</v>
      </c>
      <c r="J128" t="s">
        <v>38</v>
      </c>
    </row>
    <row r="129" spans="1:10" x14ac:dyDescent="0.45">
      <c r="A129" t="s">
        <v>172</v>
      </c>
      <c r="B129" t="s">
        <v>171</v>
      </c>
      <c r="C129" t="s">
        <v>12</v>
      </c>
      <c r="D129" t="s">
        <v>32</v>
      </c>
      <c r="E129">
        <v>16</v>
      </c>
      <c r="F129">
        <v>80</v>
      </c>
      <c r="G129">
        <v>1280</v>
      </c>
      <c r="H129">
        <v>0.05</v>
      </c>
      <c r="I129">
        <v>64</v>
      </c>
      <c r="J129" t="s">
        <v>40</v>
      </c>
    </row>
    <row r="130" spans="1:10" x14ac:dyDescent="0.45">
      <c r="A130" t="s">
        <v>173</v>
      </c>
      <c r="B130" t="s">
        <v>171</v>
      </c>
      <c r="C130" t="s">
        <v>16</v>
      </c>
      <c r="D130" t="s">
        <v>25</v>
      </c>
      <c r="E130">
        <v>2</v>
      </c>
      <c r="F130">
        <v>40</v>
      </c>
      <c r="G130">
        <v>80</v>
      </c>
      <c r="H130">
        <v>0.03</v>
      </c>
      <c r="I130">
        <v>2.4</v>
      </c>
      <c r="J130" t="s">
        <v>42</v>
      </c>
    </row>
    <row r="131" spans="1:10" x14ac:dyDescent="0.45">
      <c r="A131" t="s">
        <v>174</v>
      </c>
      <c r="B131" t="s">
        <v>171</v>
      </c>
      <c r="C131" t="s">
        <v>12</v>
      </c>
      <c r="D131" t="s">
        <v>17</v>
      </c>
      <c r="E131">
        <v>5</v>
      </c>
      <c r="F131">
        <v>80</v>
      </c>
      <c r="G131">
        <v>400</v>
      </c>
      <c r="H131">
        <v>0.04</v>
      </c>
      <c r="I131">
        <v>16</v>
      </c>
      <c r="J131" t="s">
        <v>45</v>
      </c>
    </row>
    <row r="132" spans="1:10" x14ac:dyDescent="0.45">
      <c r="A132" t="s">
        <v>175</v>
      </c>
      <c r="B132" t="s">
        <v>171</v>
      </c>
      <c r="C132" t="s">
        <v>20</v>
      </c>
      <c r="D132" t="s">
        <v>28</v>
      </c>
      <c r="E132">
        <v>17</v>
      </c>
      <c r="F132">
        <v>230</v>
      </c>
      <c r="G132">
        <v>3910</v>
      </c>
      <c r="H132">
        <v>0.12</v>
      </c>
      <c r="I132">
        <v>469.2</v>
      </c>
      <c r="J132" t="s">
        <v>14</v>
      </c>
    </row>
    <row r="133" spans="1:10" x14ac:dyDescent="0.45">
      <c r="A133" t="s">
        <v>176</v>
      </c>
      <c r="B133" t="s">
        <v>171</v>
      </c>
      <c r="C133" t="s">
        <v>12</v>
      </c>
      <c r="D133" t="s">
        <v>13</v>
      </c>
      <c r="E133">
        <v>8</v>
      </c>
      <c r="F133">
        <v>80</v>
      </c>
      <c r="G133">
        <v>640</v>
      </c>
      <c r="H133">
        <v>0.08</v>
      </c>
      <c r="I133">
        <v>51.2</v>
      </c>
      <c r="J133" t="s">
        <v>18</v>
      </c>
    </row>
    <row r="134" spans="1:10" x14ac:dyDescent="0.45">
      <c r="A134" t="s">
        <v>177</v>
      </c>
      <c r="B134" t="s">
        <v>171</v>
      </c>
      <c r="C134" t="s">
        <v>16</v>
      </c>
      <c r="D134" t="s">
        <v>17</v>
      </c>
      <c r="E134">
        <v>4</v>
      </c>
      <c r="F134">
        <v>40</v>
      </c>
      <c r="G134">
        <v>160</v>
      </c>
      <c r="H134">
        <v>0.06</v>
      </c>
      <c r="I134">
        <v>9.6</v>
      </c>
      <c r="J134" t="s">
        <v>21</v>
      </c>
    </row>
    <row r="135" spans="1:10" x14ac:dyDescent="0.45">
      <c r="A135" t="s">
        <v>178</v>
      </c>
      <c r="B135" t="s">
        <v>171</v>
      </c>
      <c r="C135" t="s">
        <v>31</v>
      </c>
      <c r="D135" t="s">
        <v>25</v>
      </c>
      <c r="E135">
        <v>17</v>
      </c>
      <c r="F135">
        <v>16</v>
      </c>
      <c r="G135">
        <v>272</v>
      </c>
      <c r="H135">
        <v>0.05</v>
      </c>
      <c r="I135">
        <v>13.600000000000001</v>
      </c>
      <c r="J135" t="s">
        <v>23</v>
      </c>
    </row>
    <row r="136" spans="1:10" x14ac:dyDescent="0.45">
      <c r="A136" t="s">
        <v>179</v>
      </c>
      <c r="B136" t="s">
        <v>171</v>
      </c>
      <c r="C136" t="s">
        <v>20</v>
      </c>
      <c r="D136" t="s">
        <v>28</v>
      </c>
      <c r="E136">
        <v>8</v>
      </c>
      <c r="F136">
        <v>230</v>
      </c>
      <c r="G136">
        <v>1840</v>
      </c>
      <c r="H136">
        <v>0.01</v>
      </c>
      <c r="I136">
        <v>18.400000000000002</v>
      </c>
      <c r="J136" t="s">
        <v>26</v>
      </c>
    </row>
    <row r="137" spans="1:10" x14ac:dyDescent="0.45">
      <c r="A137" t="s">
        <v>180</v>
      </c>
      <c r="B137" t="s">
        <v>171</v>
      </c>
      <c r="C137" t="s">
        <v>31</v>
      </c>
      <c r="D137" t="s">
        <v>32</v>
      </c>
      <c r="E137">
        <v>19</v>
      </c>
      <c r="F137">
        <v>16</v>
      </c>
      <c r="G137">
        <v>304</v>
      </c>
      <c r="H137">
        <v>0.02</v>
      </c>
      <c r="I137">
        <v>6.08</v>
      </c>
      <c r="J137" t="s">
        <v>29</v>
      </c>
    </row>
    <row r="138" spans="1:10" x14ac:dyDescent="0.45">
      <c r="A138" t="s">
        <v>181</v>
      </c>
      <c r="B138" t="s">
        <v>182</v>
      </c>
      <c r="C138" t="s">
        <v>16</v>
      </c>
      <c r="D138" t="s">
        <v>13</v>
      </c>
      <c r="E138">
        <v>18</v>
      </c>
      <c r="F138">
        <v>40</v>
      </c>
      <c r="G138">
        <v>720</v>
      </c>
      <c r="H138">
        <v>0.06</v>
      </c>
      <c r="I138">
        <v>43.199999999999996</v>
      </c>
      <c r="J138" t="s">
        <v>33</v>
      </c>
    </row>
    <row r="139" spans="1:10" x14ac:dyDescent="0.45">
      <c r="A139" t="s">
        <v>183</v>
      </c>
      <c r="B139" t="s">
        <v>182</v>
      </c>
      <c r="C139" t="s">
        <v>35</v>
      </c>
      <c r="D139" t="s">
        <v>32</v>
      </c>
      <c r="E139">
        <v>23</v>
      </c>
      <c r="F139">
        <v>150</v>
      </c>
      <c r="G139">
        <v>3450</v>
      </c>
      <c r="H139">
        <v>0.08</v>
      </c>
      <c r="I139">
        <v>276</v>
      </c>
      <c r="J139" t="s">
        <v>36</v>
      </c>
    </row>
    <row r="140" spans="1:10" x14ac:dyDescent="0.45">
      <c r="A140" t="s">
        <v>184</v>
      </c>
      <c r="B140" t="s">
        <v>182</v>
      </c>
      <c r="C140" t="s">
        <v>20</v>
      </c>
      <c r="D140" t="s">
        <v>13</v>
      </c>
      <c r="E140">
        <v>5</v>
      </c>
      <c r="F140">
        <v>230</v>
      </c>
      <c r="G140">
        <v>1150</v>
      </c>
      <c r="H140">
        <v>0.1</v>
      </c>
      <c r="I140">
        <v>115</v>
      </c>
      <c r="J140" t="s">
        <v>38</v>
      </c>
    </row>
    <row r="141" spans="1:10" x14ac:dyDescent="0.45">
      <c r="A141" t="s">
        <v>185</v>
      </c>
      <c r="B141" t="s">
        <v>182</v>
      </c>
      <c r="C141" t="s">
        <v>12</v>
      </c>
      <c r="D141" t="s">
        <v>28</v>
      </c>
      <c r="E141">
        <v>21</v>
      </c>
      <c r="F141">
        <v>80</v>
      </c>
      <c r="G141">
        <v>1680</v>
      </c>
      <c r="H141">
        <v>0.02</v>
      </c>
      <c r="I141">
        <v>33.6</v>
      </c>
      <c r="J141" t="s">
        <v>40</v>
      </c>
    </row>
    <row r="142" spans="1:10" x14ac:dyDescent="0.45">
      <c r="A142" t="s">
        <v>186</v>
      </c>
      <c r="B142" t="s">
        <v>182</v>
      </c>
      <c r="C142" t="s">
        <v>31</v>
      </c>
      <c r="D142" t="s">
        <v>25</v>
      </c>
      <c r="E142">
        <v>6</v>
      </c>
      <c r="F142">
        <v>16</v>
      </c>
      <c r="G142">
        <v>96</v>
      </c>
      <c r="H142">
        <v>7.0000000000000007E-2</v>
      </c>
      <c r="I142">
        <v>6.7200000000000006</v>
      </c>
      <c r="J142" t="s">
        <v>14</v>
      </c>
    </row>
    <row r="143" spans="1:10" x14ac:dyDescent="0.45">
      <c r="A143" t="s">
        <v>187</v>
      </c>
      <c r="B143" t="s">
        <v>182</v>
      </c>
      <c r="C143" t="s">
        <v>16</v>
      </c>
      <c r="D143" t="s">
        <v>13</v>
      </c>
      <c r="E143">
        <v>9</v>
      </c>
      <c r="F143">
        <v>40</v>
      </c>
      <c r="G143">
        <v>360</v>
      </c>
      <c r="H143">
        <v>0.01</v>
      </c>
      <c r="I143">
        <v>3.6</v>
      </c>
      <c r="J143" t="s">
        <v>18</v>
      </c>
    </row>
    <row r="144" spans="1:10" x14ac:dyDescent="0.45">
      <c r="A144" t="s">
        <v>188</v>
      </c>
      <c r="B144" t="s">
        <v>182</v>
      </c>
      <c r="C144" t="s">
        <v>20</v>
      </c>
      <c r="D144" t="s">
        <v>17</v>
      </c>
      <c r="E144">
        <v>9</v>
      </c>
      <c r="F144">
        <v>230</v>
      </c>
      <c r="G144">
        <v>2070</v>
      </c>
      <c r="H144">
        <v>0.03</v>
      </c>
      <c r="I144">
        <v>62.099999999999994</v>
      </c>
      <c r="J144" t="s">
        <v>21</v>
      </c>
    </row>
    <row r="145" spans="1:10" x14ac:dyDescent="0.45">
      <c r="A145" t="s">
        <v>189</v>
      </c>
      <c r="B145" t="s">
        <v>182</v>
      </c>
      <c r="C145" t="s">
        <v>20</v>
      </c>
      <c r="D145" t="s">
        <v>25</v>
      </c>
      <c r="E145">
        <v>5</v>
      </c>
      <c r="F145">
        <v>230</v>
      </c>
      <c r="G145">
        <v>1150</v>
      </c>
      <c r="H145">
        <v>0.1</v>
      </c>
      <c r="I145">
        <v>115</v>
      </c>
      <c r="J145" t="s">
        <v>23</v>
      </c>
    </row>
    <row r="146" spans="1:10" x14ac:dyDescent="0.45">
      <c r="A146" t="s">
        <v>190</v>
      </c>
      <c r="B146" t="s">
        <v>182</v>
      </c>
      <c r="C146" t="s">
        <v>16</v>
      </c>
      <c r="D146" t="s">
        <v>28</v>
      </c>
      <c r="E146">
        <v>7</v>
      </c>
      <c r="F146">
        <v>40</v>
      </c>
      <c r="G146">
        <v>280</v>
      </c>
      <c r="H146">
        <v>0.11</v>
      </c>
      <c r="I146">
        <v>30.8</v>
      </c>
      <c r="J146" t="s">
        <v>26</v>
      </c>
    </row>
    <row r="147" spans="1:10" x14ac:dyDescent="0.45">
      <c r="A147" t="s">
        <v>191</v>
      </c>
      <c r="B147" t="s">
        <v>182</v>
      </c>
      <c r="C147" t="s">
        <v>20</v>
      </c>
      <c r="D147" t="s">
        <v>13</v>
      </c>
      <c r="E147">
        <v>20</v>
      </c>
      <c r="F147">
        <v>230</v>
      </c>
      <c r="G147">
        <v>4600</v>
      </c>
      <c r="H147">
        <v>0.04</v>
      </c>
      <c r="I147">
        <v>184</v>
      </c>
      <c r="J147" t="s">
        <v>29</v>
      </c>
    </row>
    <row r="148" spans="1:10" x14ac:dyDescent="0.45">
      <c r="A148" t="s">
        <v>192</v>
      </c>
      <c r="B148" t="s">
        <v>182</v>
      </c>
      <c r="C148" t="s">
        <v>35</v>
      </c>
      <c r="D148" t="s">
        <v>13</v>
      </c>
      <c r="E148">
        <v>22</v>
      </c>
      <c r="F148">
        <v>150</v>
      </c>
      <c r="G148">
        <v>3300</v>
      </c>
      <c r="H148">
        <v>7.0000000000000007E-2</v>
      </c>
      <c r="I148">
        <v>231.00000000000003</v>
      </c>
      <c r="J148" t="s">
        <v>33</v>
      </c>
    </row>
    <row r="149" spans="1:10" x14ac:dyDescent="0.45">
      <c r="A149" t="s">
        <v>193</v>
      </c>
      <c r="B149" t="s">
        <v>194</v>
      </c>
      <c r="C149" t="s">
        <v>20</v>
      </c>
      <c r="D149" t="s">
        <v>25</v>
      </c>
      <c r="E149">
        <v>6</v>
      </c>
      <c r="F149">
        <v>230</v>
      </c>
      <c r="G149">
        <v>1380</v>
      </c>
      <c r="H149">
        <v>0.05</v>
      </c>
      <c r="I149">
        <v>69</v>
      </c>
      <c r="J149" t="s">
        <v>36</v>
      </c>
    </row>
    <row r="150" spans="1:10" x14ac:dyDescent="0.45">
      <c r="A150" t="s">
        <v>195</v>
      </c>
      <c r="B150" t="s">
        <v>194</v>
      </c>
      <c r="C150" t="s">
        <v>20</v>
      </c>
      <c r="D150" t="s">
        <v>25</v>
      </c>
      <c r="E150">
        <v>15</v>
      </c>
      <c r="F150">
        <v>230</v>
      </c>
      <c r="G150">
        <v>3450</v>
      </c>
      <c r="H150">
        <v>0.11</v>
      </c>
      <c r="I150">
        <v>379.5</v>
      </c>
      <c r="J150" t="s">
        <v>38</v>
      </c>
    </row>
    <row r="151" spans="1:10" x14ac:dyDescent="0.45">
      <c r="A151" t="s">
        <v>196</v>
      </c>
      <c r="B151" t="s">
        <v>194</v>
      </c>
      <c r="C151" t="s">
        <v>16</v>
      </c>
      <c r="D151" t="s">
        <v>17</v>
      </c>
      <c r="E151">
        <v>8</v>
      </c>
      <c r="F151">
        <v>40</v>
      </c>
      <c r="G151">
        <v>320</v>
      </c>
      <c r="H151">
        <v>0.09</v>
      </c>
      <c r="I151">
        <v>28.799999999999997</v>
      </c>
      <c r="J151" t="s">
        <v>40</v>
      </c>
    </row>
    <row r="152" spans="1:10" x14ac:dyDescent="0.45">
      <c r="A152" t="s">
        <v>197</v>
      </c>
      <c r="B152" t="s">
        <v>194</v>
      </c>
      <c r="C152" t="s">
        <v>16</v>
      </c>
      <c r="D152" t="s">
        <v>13</v>
      </c>
      <c r="E152">
        <v>5</v>
      </c>
      <c r="F152">
        <v>40</v>
      </c>
      <c r="G152">
        <v>200</v>
      </c>
      <c r="H152">
        <v>0.06</v>
      </c>
      <c r="I152">
        <v>12</v>
      </c>
      <c r="J152" t="s">
        <v>42</v>
      </c>
    </row>
    <row r="153" spans="1:10" x14ac:dyDescent="0.45">
      <c r="A153" t="s">
        <v>198</v>
      </c>
      <c r="B153" t="s">
        <v>194</v>
      </c>
      <c r="C153" t="s">
        <v>12</v>
      </c>
      <c r="D153" t="s">
        <v>32</v>
      </c>
      <c r="E153">
        <v>6</v>
      </c>
      <c r="F153">
        <v>80</v>
      </c>
      <c r="G153">
        <v>480</v>
      </c>
      <c r="H153">
        <v>0.09</v>
      </c>
      <c r="I153">
        <v>43.199999999999996</v>
      </c>
      <c r="J153" t="s">
        <v>45</v>
      </c>
    </row>
    <row r="154" spans="1:10" x14ac:dyDescent="0.45">
      <c r="A154" t="s">
        <v>199</v>
      </c>
      <c r="B154" t="s">
        <v>194</v>
      </c>
      <c r="C154" t="s">
        <v>16</v>
      </c>
      <c r="D154" t="s">
        <v>28</v>
      </c>
      <c r="E154">
        <v>22</v>
      </c>
      <c r="F154">
        <v>40</v>
      </c>
      <c r="G154">
        <v>880</v>
      </c>
      <c r="H154">
        <v>0.01</v>
      </c>
      <c r="I154">
        <v>8.8000000000000007</v>
      </c>
      <c r="J154" t="s">
        <v>14</v>
      </c>
    </row>
    <row r="155" spans="1:10" x14ac:dyDescent="0.45">
      <c r="A155" t="s">
        <v>200</v>
      </c>
      <c r="B155" t="s">
        <v>194</v>
      </c>
      <c r="C155" t="s">
        <v>31</v>
      </c>
      <c r="D155" t="s">
        <v>13</v>
      </c>
      <c r="E155">
        <v>7</v>
      </c>
      <c r="F155">
        <v>16</v>
      </c>
      <c r="G155">
        <v>112</v>
      </c>
      <c r="H155">
        <v>0.08</v>
      </c>
      <c r="I155">
        <v>8.9600000000000009</v>
      </c>
      <c r="J155" t="s">
        <v>18</v>
      </c>
    </row>
    <row r="156" spans="1:10" x14ac:dyDescent="0.45">
      <c r="A156" t="s">
        <v>201</v>
      </c>
      <c r="B156" t="s">
        <v>194</v>
      </c>
      <c r="C156" t="s">
        <v>35</v>
      </c>
      <c r="D156" t="s">
        <v>25</v>
      </c>
      <c r="E156">
        <v>22</v>
      </c>
      <c r="F156">
        <v>150</v>
      </c>
      <c r="G156">
        <v>3300</v>
      </c>
      <c r="H156">
        <v>0.04</v>
      </c>
      <c r="I156">
        <v>132</v>
      </c>
      <c r="J156" t="s">
        <v>21</v>
      </c>
    </row>
    <row r="157" spans="1:10" x14ac:dyDescent="0.45">
      <c r="A157" t="s">
        <v>202</v>
      </c>
      <c r="B157" t="s">
        <v>194</v>
      </c>
      <c r="C157" t="s">
        <v>31</v>
      </c>
      <c r="D157" t="s">
        <v>28</v>
      </c>
      <c r="E157">
        <v>15</v>
      </c>
      <c r="F157">
        <v>16</v>
      </c>
      <c r="G157">
        <v>240</v>
      </c>
      <c r="H157">
        <v>0.12</v>
      </c>
      <c r="I157">
        <v>28.799999999999997</v>
      </c>
      <c r="J157" t="s">
        <v>23</v>
      </c>
    </row>
    <row r="158" spans="1:10" x14ac:dyDescent="0.45">
      <c r="A158" t="s">
        <v>203</v>
      </c>
      <c r="B158" t="s">
        <v>194</v>
      </c>
      <c r="C158" t="s">
        <v>12</v>
      </c>
      <c r="D158" t="s">
        <v>25</v>
      </c>
      <c r="E158">
        <v>20</v>
      </c>
      <c r="F158">
        <v>80</v>
      </c>
      <c r="G158">
        <v>1600</v>
      </c>
      <c r="H158">
        <v>7.0000000000000007E-2</v>
      </c>
      <c r="I158">
        <v>112.00000000000001</v>
      </c>
      <c r="J158" t="s">
        <v>26</v>
      </c>
    </row>
    <row r="159" spans="1:10" x14ac:dyDescent="0.45">
      <c r="A159" t="s">
        <v>204</v>
      </c>
      <c r="B159" t="s">
        <v>194</v>
      </c>
      <c r="C159" t="s">
        <v>12</v>
      </c>
      <c r="D159" t="s">
        <v>25</v>
      </c>
      <c r="E159">
        <v>7</v>
      </c>
      <c r="F159">
        <v>80</v>
      </c>
      <c r="G159">
        <v>560</v>
      </c>
      <c r="H159">
        <v>0.05</v>
      </c>
      <c r="I159">
        <v>28</v>
      </c>
      <c r="J159" t="s">
        <v>29</v>
      </c>
    </row>
    <row r="160" spans="1:10" x14ac:dyDescent="0.45">
      <c r="A160" t="s">
        <v>205</v>
      </c>
      <c r="B160" t="s">
        <v>194</v>
      </c>
      <c r="C160" t="s">
        <v>12</v>
      </c>
      <c r="D160" t="s">
        <v>17</v>
      </c>
      <c r="E160">
        <v>10</v>
      </c>
      <c r="F160">
        <v>80</v>
      </c>
      <c r="G160">
        <v>800</v>
      </c>
      <c r="H160">
        <v>0.11</v>
      </c>
      <c r="I160">
        <v>88</v>
      </c>
      <c r="J160" t="s">
        <v>33</v>
      </c>
    </row>
    <row r="161" spans="1:10" x14ac:dyDescent="0.45">
      <c r="A161" t="s">
        <v>206</v>
      </c>
      <c r="B161" t="s">
        <v>194</v>
      </c>
      <c r="C161" t="s">
        <v>12</v>
      </c>
      <c r="D161" t="s">
        <v>17</v>
      </c>
      <c r="E161">
        <v>2</v>
      </c>
      <c r="F161">
        <v>80</v>
      </c>
      <c r="G161">
        <v>160</v>
      </c>
      <c r="H161">
        <v>7.0000000000000007E-2</v>
      </c>
      <c r="I161">
        <v>11.200000000000001</v>
      </c>
      <c r="J161" t="s">
        <v>36</v>
      </c>
    </row>
    <row r="162" spans="1:10" x14ac:dyDescent="0.45">
      <c r="A162" t="s">
        <v>207</v>
      </c>
      <c r="B162" t="s">
        <v>194</v>
      </c>
      <c r="C162" t="s">
        <v>31</v>
      </c>
      <c r="D162" t="s">
        <v>32</v>
      </c>
      <c r="E162">
        <v>23</v>
      </c>
      <c r="F162">
        <v>16</v>
      </c>
      <c r="G162">
        <v>368</v>
      </c>
      <c r="H162">
        <v>0.01</v>
      </c>
      <c r="I162">
        <v>3.68</v>
      </c>
      <c r="J162" t="s">
        <v>38</v>
      </c>
    </row>
    <row r="163" spans="1:10" x14ac:dyDescent="0.45">
      <c r="A163" t="s">
        <v>208</v>
      </c>
      <c r="B163" t="s">
        <v>194</v>
      </c>
      <c r="C163" t="s">
        <v>20</v>
      </c>
      <c r="D163" t="s">
        <v>17</v>
      </c>
      <c r="E163">
        <v>12</v>
      </c>
      <c r="F163">
        <v>230</v>
      </c>
      <c r="G163">
        <v>2760</v>
      </c>
      <c r="H163">
        <v>0.03</v>
      </c>
      <c r="I163">
        <v>82.8</v>
      </c>
      <c r="J163" t="s">
        <v>40</v>
      </c>
    </row>
    <row r="164" spans="1:10" x14ac:dyDescent="0.45">
      <c r="A164" t="s">
        <v>209</v>
      </c>
      <c r="B164" t="s">
        <v>210</v>
      </c>
      <c r="C164" t="s">
        <v>20</v>
      </c>
      <c r="D164" t="s">
        <v>13</v>
      </c>
      <c r="E164">
        <v>7</v>
      </c>
      <c r="F164">
        <v>230</v>
      </c>
      <c r="G164">
        <v>1610</v>
      </c>
      <c r="H164">
        <v>0.08</v>
      </c>
      <c r="I164">
        <v>128.80000000000001</v>
      </c>
      <c r="J164" t="s">
        <v>42</v>
      </c>
    </row>
    <row r="165" spans="1:10" x14ac:dyDescent="0.45">
      <c r="A165" t="s">
        <v>211</v>
      </c>
      <c r="B165" t="s">
        <v>210</v>
      </c>
      <c r="C165" t="s">
        <v>16</v>
      </c>
      <c r="D165" t="s">
        <v>28</v>
      </c>
      <c r="E165">
        <v>11</v>
      </c>
      <c r="F165">
        <v>40</v>
      </c>
      <c r="G165">
        <v>440</v>
      </c>
      <c r="H165">
        <v>0.06</v>
      </c>
      <c r="I165">
        <v>26.4</v>
      </c>
      <c r="J165" t="s">
        <v>45</v>
      </c>
    </row>
    <row r="166" spans="1:10" x14ac:dyDescent="0.45">
      <c r="A166" t="s">
        <v>212</v>
      </c>
      <c r="B166" t="s">
        <v>210</v>
      </c>
      <c r="C166" t="s">
        <v>20</v>
      </c>
      <c r="D166" t="s">
        <v>17</v>
      </c>
      <c r="E166">
        <v>7</v>
      </c>
      <c r="F166">
        <v>230</v>
      </c>
      <c r="G166">
        <v>1610</v>
      </c>
      <c r="H166">
        <v>0.08</v>
      </c>
      <c r="I166">
        <v>128.80000000000001</v>
      </c>
      <c r="J166" t="s">
        <v>14</v>
      </c>
    </row>
    <row r="167" spans="1:10" x14ac:dyDescent="0.45">
      <c r="A167" t="s">
        <v>213</v>
      </c>
      <c r="B167" t="s">
        <v>210</v>
      </c>
      <c r="C167" t="s">
        <v>12</v>
      </c>
      <c r="D167" t="s">
        <v>13</v>
      </c>
      <c r="E167">
        <v>8</v>
      </c>
      <c r="F167">
        <v>80</v>
      </c>
      <c r="G167">
        <v>640</v>
      </c>
      <c r="H167">
        <v>0.09</v>
      </c>
      <c r="I167">
        <v>57.599999999999994</v>
      </c>
      <c r="J167" t="s">
        <v>18</v>
      </c>
    </row>
    <row r="168" spans="1:10" x14ac:dyDescent="0.45">
      <c r="A168" t="s">
        <v>214</v>
      </c>
      <c r="B168" t="s">
        <v>210</v>
      </c>
      <c r="C168" t="s">
        <v>12</v>
      </c>
      <c r="D168" t="s">
        <v>28</v>
      </c>
      <c r="E168">
        <v>16</v>
      </c>
      <c r="F168">
        <v>80</v>
      </c>
      <c r="G168">
        <v>1280</v>
      </c>
      <c r="H168">
        <v>7.0000000000000007E-2</v>
      </c>
      <c r="I168">
        <v>89.600000000000009</v>
      </c>
      <c r="J168" t="s">
        <v>21</v>
      </c>
    </row>
    <row r="169" spans="1:10" x14ac:dyDescent="0.45">
      <c r="A169" t="s">
        <v>215</v>
      </c>
      <c r="B169" t="s">
        <v>210</v>
      </c>
      <c r="C169" t="s">
        <v>12</v>
      </c>
      <c r="D169" t="s">
        <v>25</v>
      </c>
      <c r="E169">
        <v>16</v>
      </c>
      <c r="F169">
        <v>80</v>
      </c>
      <c r="G169">
        <v>1280</v>
      </c>
      <c r="H169">
        <v>0.04</v>
      </c>
      <c r="I169">
        <v>51.2</v>
      </c>
      <c r="J169" t="s">
        <v>23</v>
      </c>
    </row>
    <row r="170" spans="1:10" x14ac:dyDescent="0.45">
      <c r="A170" t="s">
        <v>216</v>
      </c>
      <c r="B170" t="s">
        <v>210</v>
      </c>
      <c r="C170" t="s">
        <v>31</v>
      </c>
      <c r="D170" t="s">
        <v>25</v>
      </c>
      <c r="E170">
        <v>9</v>
      </c>
      <c r="F170">
        <v>16</v>
      </c>
      <c r="G170">
        <v>144</v>
      </c>
      <c r="H170">
        <v>0.05</v>
      </c>
      <c r="I170">
        <v>7.2</v>
      </c>
      <c r="J170" t="s">
        <v>26</v>
      </c>
    </row>
    <row r="171" spans="1:10" x14ac:dyDescent="0.45">
      <c r="A171" t="s">
        <v>217</v>
      </c>
      <c r="B171" t="s">
        <v>210</v>
      </c>
      <c r="C171" t="s">
        <v>35</v>
      </c>
      <c r="D171" t="s">
        <v>32</v>
      </c>
      <c r="E171">
        <v>11</v>
      </c>
      <c r="F171">
        <v>150</v>
      </c>
      <c r="G171">
        <v>1650</v>
      </c>
      <c r="H171">
        <v>0.09</v>
      </c>
      <c r="I171">
        <v>148.5</v>
      </c>
      <c r="J171" t="s">
        <v>29</v>
      </c>
    </row>
    <row r="172" spans="1:10" x14ac:dyDescent="0.45">
      <c r="A172" t="s">
        <v>218</v>
      </c>
      <c r="B172" t="s">
        <v>210</v>
      </c>
      <c r="C172" t="s">
        <v>31</v>
      </c>
      <c r="D172" t="s">
        <v>13</v>
      </c>
      <c r="E172">
        <v>4</v>
      </c>
      <c r="F172">
        <v>16</v>
      </c>
      <c r="G172">
        <v>64</v>
      </c>
      <c r="H172">
        <v>0.12</v>
      </c>
      <c r="I172">
        <v>7.68</v>
      </c>
      <c r="J172" t="s">
        <v>33</v>
      </c>
    </row>
    <row r="173" spans="1:10" x14ac:dyDescent="0.45">
      <c r="A173" t="s">
        <v>219</v>
      </c>
      <c r="B173" t="s">
        <v>210</v>
      </c>
      <c r="C173" t="s">
        <v>16</v>
      </c>
      <c r="D173" t="s">
        <v>28</v>
      </c>
      <c r="E173">
        <v>15</v>
      </c>
      <c r="F173">
        <v>40</v>
      </c>
      <c r="G173">
        <v>600</v>
      </c>
      <c r="H173">
        <v>0.03</v>
      </c>
      <c r="I173">
        <v>18</v>
      </c>
      <c r="J173" t="s">
        <v>36</v>
      </c>
    </row>
    <row r="174" spans="1:10" x14ac:dyDescent="0.45">
      <c r="A174" t="s">
        <v>220</v>
      </c>
      <c r="B174" t="s">
        <v>210</v>
      </c>
      <c r="C174" t="s">
        <v>16</v>
      </c>
      <c r="D174" t="s">
        <v>32</v>
      </c>
      <c r="E174">
        <v>20</v>
      </c>
      <c r="F174">
        <v>40</v>
      </c>
      <c r="G174">
        <v>800</v>
      </c>
      <c r="H174">
        <v>0.03</v>
      </c>
      <c r="I174">
        <v>24</v>
      </c>
      <c r="J174" t="s">
        <v>38</v>
      </c>
    </row>
    <row r="175" spans="1:10" x14ac:dyDescent="0.45">
      <c r="A175" t="s">
        <v>221</v>
      </c>
      <c r="B175" t="s">
        <v>222</v>
      </c>
      <c r="C175" t="s">
        <v>35</v>
      </c>
      <c r="D175" t="s">
        <v>25</v>
      </c>
      <c r="E175">
        <v>9</v>
      </c>
      <c r="F175">
        <v>150</v>
      </c>
      <c r="G175">
        <v>1350</v>
      </c>
      <c r="H175">
        <v>0.06</v>
      </c>
      <c r="I175">
        <v>81</v>
      </c>
      <c r="J175" t="s">
        <v>40</v>
      </c>
    </row>
    <row r="176" spans="1:10" x14ac:dyDescent="0.45">
      <c r="A176" t="s">
        <v>223</v>
      </c>
      <c r="B176" t="s">
        <v>222</v>
      </c>
      <c r="C176" t="s">
        <v>16</v>
      </c>
      <c r="D176" t="s">
        <v>17</v>
      </c>
      <c r="E176">
        <v>23</v>
      </c>
      <c r="F176">
        <v>40</v>
      </c>
      <c r="G176">
        <v>920</v>
      </c>
      <c r="H176">
        <v>0.06</v>
      </c>
      <c r="I176">
        <v>55.199999999999996</v>
      </c>
      <c r="J176" t="s">
        <v>42</v>
      </c>
    </row>
    <row r="177" spans="1:10" x14ac:dyDescent="0.45">
      <c r="A177" t="s">
        <v>224</v>
      </c>
      <c r="B177" t="s">
        <v>222</v>
      </c>
      <c r="C177" t="s">
        <v>12</v>
      </c>
      <c r="D177" t="s">
        <v>32</v>
      </c>
      <c r="E177">
        <v>13</v>
      </c>
      <c r="F177">
        <v>80</v>
      </c>
      <c r="G177">
        <v>1040</v>
      </c>
      <c r="H177">
        <v>0.05</v>
      </c>
      <c r="I177">
        <v>52</v>
      </c>
      <c r="J177" t="s">
        <v>45</v>
      </c>
    </row>
    <row r="178" spans="1:10" x14ac:dyDescent="0.45">
      <c r="A178" t="s">
        <v>225</v>
      </c>
      <c r="B178" t="s">
        <v>222</v>
      </c>
      <c r="C178" t="s">
        <v>31</v>
      </c>
      <c r="D178" t="s">
        <v>13</v>
      </c>
      <c r="E178">
        <v>22</v>
      </c>
      <c r="F178">
        <v>16</v>
      </c>
      <c r="G178">
        <v>352</v>
      </c>
      <c r="H178">
        <v>0.01</v>
      </c>
      <c r="I178">
        <v>3.52</v>
      </c>
      <c r="J178" t="s">
        <v>14</v>
      </c>
    </row>
    <row r="179" spans="1:10" x14ac:dyDescent="0.45">
      <c r="A179" t="s">
        <v>226</v>
      </c>
      <c r="B179" t="s">
        <v>222</v>
      </c>
      <c r="C179" t="s">
        <v>16</v>
      </c>
      <c r="D179" t="s">
        <v>13</v>
      </c>
      <c r="E179">
        <v>19</v>
      </c>
      <c r="F179">
        <v>40</v>
      </c>
      <c r="G179">
        <v>760</v>
      </c>
      <c r="H179">
        <v>0.04</v>
      </c>
      <c r="I179">
        <v>30.400000000000002</v>
      </c>
      <c r="J179" t="s">
        <v>18</v>
      </c>
    </row>
    <row r="180" spans="1:10" x14ac:dyDescent="0.45">
      <c r="A180" t="s">
        <v>227</v>
      </c>
      <c r="B180" t="s">
        <v>222</v>
      </c>
      <c r="C180" t="s">
        <v>12</v>
      </c>
      <c r="D180" t="s">
        <v>28</v>
      </c>
      <c r="E180">
        <v>4</v>
      </c>
      <c r="F180">
        <v>80</v>
      </c>
      <c r="G180">
        <v>320</v>
      </c>
      <c r="H180">
        <v>0.11</v>
      </c>
      <c r="I180">
        <v>35.200000000000003</v>
      </c>
      <c r="J180" t="s">
        <v>21</v>
      </c>
    </row>
    <row r="181" spans="1:10" x14ac:dyDescent="0.45">
      <c r="A181" t="s">
        <v>228</v>
      </c>
      <c r="B181" t="s">
        <v>222</v>
      </c>
      <c r="C181" t="s">
        <v>31</v>
      </c>
      <c r="D181" t="s">
        <v>13</v>
      </c>
      <c r="E181">
        <v>12</v>
      </c>
      <c r="F181">
        <v>16</v>
      </c>
      <c r="G181">
        <v>192</v>
      </c>
      <c r="H181">
        <v>0.11</v>
      </c>
      <c r="I181">
        <v>21.12</v>
      </c>
      <c r="J181" t="s">
        <v>23</v>
      </c>
    </row>
    <row r="182" spans="1:10" x14ac:dyDescent="0.45">
      <c r="A182" t="s">
        <v>229</v>
      </c>
      <c r="B182" t="s">
        <v>222</v>
      </c>
      <c r="C182" t="s">
        <v>35</v>
      </c>
      <c r="D182" t="s">
        <v>17</v>
      </c>
      <c r="E182">
        <v>16</v>
      </c>
      <c r="F182">
        <v>150</v>
      </c>
      <c r="G182">
        <v>2400</v>
      </c>
      <c r="H182">
        <v>0.08</v>
      </c>
      <c r="I182">
        <v>192</v>
      </c>
      <c r="J182" t="s">
        <v>26</v>
      </c>
    </row>
    <row r="183" spans="1:10" x14ac:dyDescent="0.45">
      <c r="A183" t="s">
        <v>230</v>
      </c>
      <c r="B183" t="s">
        <v>222</v>
      </c>
      <c r="C183" t="s">
        <v>12</v>
      </c>
      <c r="D183" t="s">
        <v>13</v>
      </c>
      <c r="E183">
        <v>7</v>
      </c>
      <c r="F183">
        <v>80</v>
      </c>
      <c r="G183">
        <v>560</v>
      </c>
      <c r="H183">
        <v>0.02</v>
      </c>
      <c r="I183">
        <v>11.200000000000001</v>
      </c>
      <c r="J183" t="s">
        <v>29</v>
      </c>
    </row>
    <row r="184" spans="1:10" x14ac:dyDescent="0.45">
      <c r="A184" t="s">
        <v>231</v>
      </c>
      <c r="B184" t="s">
        <v>222</v>
      </c>
      <c r="C184" t="s">
        <v>16</v>
      </c>
      <c r="D184" t="s">
        <v>32</v>
      </c>
      <c r="E184">
        <v>20</v>
      </c>
      <c r="F184">
        <v>40</v>
      </c>
      <c r="G184">
        <v>800</v>
      </c>
      <c r="H184">
        <v>7.0000000000000007E-2</v>
      </c>
      <c r="I184">
        <v>56.000000000000007</v>
      </c>
      <c r="J184" t="s">
        <v>33</v>
      </c>
    </row>
    <row r="185" spans="1:10" x14ac:dyDescent="0.45">
      <c r="A185" t="s">
        <v>232</v>
      </c>
      <c r="B185" t="s">
        <v>222</v>
      </c>
      <c r="C185" t="s">
        <v>12</v>
      </c>
      <c r="D185" t="s">
        <v>17</v>
      </c>
      <c r="E185">
        <v>15</v>
      </c>
      <c r="F185">
        <v>80</v>
      </c>
      <c r="G185">
        <v>1200</v>
      </c>
      <c r="H185">
        <v>0.12</v>
      </c>
      <c r="I185">
        <v>144</v>
      </c>
      <c r="J185" t="s">
        <v>36</v>
      </c>
    </row>
    <row r="186" spans="1:10" x14ac:dyDescent="0.45">
      <c r="A186" t="s">
        <v>233</v>
      </c>
      <c r="B186" t="s">
        <v>222</v>
      </c>
      <c r="C186" t="s">
        <v>16</v>
      </c>
      <c r="D186" t="s">
        <v>13</v>
      </c>
      <c r="E186">
        <v>5</v>
      </c>
      <c r="F186">
        <v>40</v>
      </c>
      <c r="G186">
        <v>200</v>
      </c>
      <c r="H186">
        <v>0.09</v>
      </c>
      <c r="I186">
        <v>18</v>
      </c>
      <c r="J186" t="s">
        <v>38</v>
      </c>
    </row>
    <row r="187" spans="1:10" x14ac:dyDescent="0.45">
      <c r="A187" t="s">
        <v>234</v>
      </c>
      <c r="B187" t="s">
        <v>222</v>
      </c>
      <c r="C187" t="s">
        <v>31</v>
      </c>
      <c r="D187" t="s">
        <v>32</v>
      </c>
      <c r="E187">
        <v>12</v>
      </c>
      <c r="F187">
        <v>16</v>
      </c>
      <c r="G187">
        <v>192</v>
      </c>
      <c r="H187">
        <v>0.04</v>
      </c>
      <c r="I187">
        <v>7.68</v>
      </c>
      <c r="J187" t="s">
        <v>40</v>
      </c>
    </row>
    <row r="188" spans="1:10" x14ac:dyDescent="0.45">
      <c r="A188" t="s">
        <v>235</v>
      </c>
      <c r="B188" t="s">
        <v>236</v>
      </c>
      <c r="C188" t="s">
        <v>35</v>
      </c>
      <c r="D188" t="s">
        <v>28</v>
      </c>
      <c r="E188">
        <v>3</v>
      </c>
      <c r="F188">
        <v>150</v>
      </c>
      <c r="G188">
        <v>450</v>
      </c>
      <c r="H188">
        <v>0.01</v>
      </c>
      <c r="I188">
        <v>4.5</v>
      </c>
      <c r="J188" t="s">
        <v>42</v>
      </c>
    </row>
    <row r="189" spans="1:10" x14ac:dyDescent="0.45">
      <c r="A189" t="s">
        <v>237</v>
      </c>
      <c r="B189" t="s">
        <v>236</v>
      </c>
      <c r="C189" t="s">
        <v>16</v>
      </c>
      <c r="D189" t="s">
        <v>32</v>
      </c>
      <c r="E189">
        <v>7</v>
      </c>
      <c r="F189">
        <v>40</v>
      </c>
      <c r="G189">
        <v>280</v>
      </c>
      <c r="H189">
        <v>0.12</v>
      </c>
      <c r="I189">
        <v>33.6</v>
      </c>
      <c r="J189" t="s">
        <v>45</v>
      </c>
    </row>
    <row r="190" spans="1:10" x14ac:dyDescent="0.45">
      <c r="A190" t="s">
        <v>238</v>
      </c>
      <c r="B190" t="s">
        <v>236</v>
      </c>
      <c r="C190" t="s">
        <v>12</v>
      </c>
      <c r="D190" t="s">
        <v>17</v>
      </c>
      <c r="E190">
        <v>2</v>
      </c>
      <c r="F190">
        <v>80</v>
      </c>
      <c r="G190">
        <v>160</v>
      </c>
      <c r="H190">
        <v>0.04</v>
      </c>
      <c r="I190">
        <v>6.4</v>
      </c>
      <c r="J190" t="s">
        <v>14</v>
      </c>
    </row>
    <row r="191" spans="1:10" x14ac:dyDescent="0.45">
      <c r="A191" t="s">
        <v>239</v>
      </c>
      <c r="B191" t="s">
        <v>236</v>
      </c>
      <c r="C191" t="s">
        <v>16</v>
      </c>
      <c r="D191" t="s">
        <v>28</v>
      </c>
      <c r="E191">
        <v>6</v>
      </c>
      <c r="F191">
        <v>40</v>
      </c>
      <c r="G191">
        <v>240</v>
      </c>
      <c r="H191">
        <v>7.0000000000000007E-2</v>
      </c>
      <c r="I191">
        <v>16.8</v>
      </c>
      <c r="J191" t="s">
        <v>18</v>
      </c>
    </row>
    <row r="192" spans="1:10" x14ac:dyDescent="0.45">
      <c r="A192" t="s">
        <v>240</v>
      </c>
      <c r="B192" t="s">
        <v>236</v>
      </c>
      <c r="C192" t="s">
        <v>31</v>
      </c>
      <c r="D192" t="s">
        <v>25</v>
      </c>
      <c r="E192">
        <v>6</v>
      </c>
      <c r="F192">
        <v>16</v>
      </c>
      <c r="G192">
        <v>96</v>
      </c>
      <c r="H192">
        <v>0.06</v>
      </c>
      <c r="I192">
        <v>5.76</v>
      </c>
      <c r="J192" t="s">
        <v>21</v>
      </c>
    </row>
    <row r="193" spans="1:10" x14ac:dyDescent="0.45">
      <c r="A193" t="s">
        <v>241</v>
      </c>
      <c r="B193" t="s">
        <v>236</v>
      </c>
      <c r="C193" t="s">
        <v>31</v>
      </c>
      <c r="D193" t="s">
        <v>13</v>
      </c>
      <c r="E193">
        <v>7</v>
      </c>
      <c r="F193">
        <v>16</v>
      </c>
      <c r="G193">
        <v>112</v>
      </c>
      <c r="H193">
        <v>0.02</v>
      </c>
      <c r="I193">
        <v>2.2400000000000002</v>
      </c>
      <c r="J193" t="s">
        <v>23</v>
      </c>
    </row>
    <row r="194" spans="1:10" x14ac:dyDescent="0.45">
      <c r="A194" t="s">
        <v>242</v>
      </c>
      <c r="B194" t="s">
        <v>236</v>
      </c>
      <c r="C194" t="s">
        <v>31</v>
      </c>
      <c r="D194" t="s">
        <v>17</v>
      </c>
      <c r="E194">
        <v>20</v>
      </c>
      <c r="F194">
        <v>16</v>
      </c>
      <c r="G194">
        <v>320</v>
      </c>
      <c r="H194">
        <v>0.06</v>
      </c>
      <c r="I194">
        <v>19.2</v>
      </c>
      <c r="J194" t="s">
        <v>26</v>
      </c>
    </row>
    <row r="195" spans="1:10" x14ac:dyDescent="0.45">
      <c r="A195" t="s">
        <v>243</v>
      </c>
      <c r="B195" t="s">
        <v>236</v>
      </c>
      <c r="C195" t="s">
        <v>31</v>
      </c>
      <c r="D195" t="s">
        <v>17</v>
      </c>
      <c r="E195">
        <v>21</v>
      </c>
      <c r="F195">
        <v>16</v>
      </c>
      <c r="G195">
        <v>336</v>
      </c>
      <c r="H195">
        <v>0.02</v>
      </c>
      <c r="I195">
        <v>6.72</v>
      </c>
      <c r="J195" t="s">
        <v>29</v>
      </c>
    </row>
    <row r="196" spans="1:10" x14ac:dyDescent="0.45">
      <c r="A196" t="s">
        <v>244</v>
      </c>
      <c r="B196" t="s">
        <v>236</v>
      </c>
      <c r="C196" t="s">
        <v>12</v>
      </c>
      <c r="D196" t="s">
        <v>28</v>
      </c>
      <c r="E196">
        <v>21</v>
      </c>
      <c r="F196">
        <v>80</v>
      </c>
      <c r="G196">
        <v>1680</v>
      </c>
      <c r="H196">
        <v>0.05</v>
      </c>
      <c r="I196">
        <v>84</v>
      </c>
      <c r="J196" t="s">
        <v>33</v>
      </c>
    </row>
    <row r="197" spans="1:10" x14ac:dyDescent="0.45">
      <c r="A197" t="s">
        <v>245</v>
      </c>
      <c r="B197" t="s">
        <v>236</v>
      </c>
      <c r="C197" t="s">
        <v>31</v>
      </c>
      <c r="D197" t="s">
        <v>28</v>
      </c>
      <c r="E197">
        <v>10</v>
      </c>
      <c r="F197">
        <v>16</v>
      </c>
      <c r="G197">
        <v>160</v>
      </c>
      <c r="H197">
        <v>0.01</v>
      </c>
      <c r="I197">
        <v>1.6</v>
      </c>
      <c r="J197" t="s">
        <v>36</v>
      </c>
    </row>
    <row r="198" spans="1:10" x14ac:dyDescent="0.45">
      <c r="A198" t="s">
        <v>246</v>
      </c>
      <c r="B198" t="s">
        <v>247</v>
      </c>
      <c r="C198" t="s">
        <v>20</v>
      </c>
      <c r="D198" t="s">
        <v>28</v>
      </c>
      <c r="E198">
        <v>2</v>
      </c>
      <c r="F198">
        <v>230</v>
      </c>
      <c r="G198">
        <v>460</v>
      </c>
      <c r="H198">
        <v>0.09</v>
      </c>
      <c r="I198">
        <v>41.4</v>
      </c>
      <c r="J198" t="s">
        <v>38</v>
      </c>
    </row>
    <row r="199" spans="1:10" x14ac:dyDescent="0.45">
      <c r="A199" t="s">
        <v>248</v>
      </c>
      <c r="B199" t="s">
        <v>247</v>
      </c>
      <c r="C199" t="s">
        <v>35</v>
      </c>
      <c r="D199" t="s">
        <v>13</v>
      </c>
      <c r="E199">
        <v>20</v>
      </c>
      <c r="F199">
        <v>150</v>
      </c>
      <c r="G199">
        <v>3000</v>
      </c>
      <c r="H199">
        <v>0.03</v>
      </c>
      <c r="I199">
        <v>90</v>
      </c>
      <c r="J199" t="s">
        <v>40</v>
      </c>
    </row>
    <row r="200" spans="1:10" x14ac:dyDescent="0.45">
      <c r="A200" t="s">
        <v>249</v>
      </c>
      <c r="B200" t="s">
        <v>247</v>
      </c>
      <c r="C200" t="s">
        <v>16</v>
      </c>
      <c r="D200" t="s">
        <v>13</v>
      </c>
      <c r="E200">
        <v>23</v>
      </c>
      <c r="F200">
        <v>40</v>
      </c>
      <c r="G200">
        <v>920</v>
      </c>
      <c r="H200">
        <v>0.03</v>
      </c>
      <c r="I200">
        <v>27.599999999999998</v>
      </c>
      <c r="J200" t="s">
        <v>42</v>
      </c>
    </row>
    <row r="201" spans="1:10" x14ac:dyDescent="0.45">
      <c r="A201" t="s">
        <v>250</v>
      </c>
      <c r="B201" t="s">
        <v>247</v>
      </c>
      <c r="C201" t="s">
        <v>12</v>
      </c>
      <c r="D201" t="s">
        <v>28</v>
      </c>
      <c r="E201">
        <v>17</v>
      </c>
      <c r="F201">
        <v>80</v>
      </c>
      <c r="G201">
        <v>1360</v>
      </c>
      <c r="H201">
        <v>0.05</v>
      </c>
      <c r="I201">
        <v>68</v>
      </c>
      <c r="J201" t="s">
        <v>45</v>
      </c>
    </row>
    <row r="202" spans="1:10" x14ac:dyDescent="0.45">
      <c r="A202" t="s">
        <v>251</v>
      </c>
      <c r="B202" t="s">
        <v>247</v>
      </c>
      <c r="C202" t="s">
        <v>20</v>
      </c>
      <c r="D202" t="s">
        <v>28</v>
      </c>
      <c r="E202">
        <v>11</v>
      </c>
      <c r="F202">
        <v>230</v>
      </c>
      <c r="G202">
        <v>2530</v>
      </c>
      <c r="H202">
        <v>0.12</v>
      </c>
      <c r="I202">
        <v>303.59999999999997</v>
      </c>
      <c r="J202" t="s">
        <v>14</v>
      </c>
    </row>
    <row r="203" spans="1:10" x14ac:dyDescent="0.45">
      <c r="A203" t="s">
        <v>252</v>
      </c>
      <c r="B203" t="s">
        <v>247</v>
      </c>
      <c r="C203" t="s">
        <v>35</v>
      </c>
      <c r="D203" t="s">
        <v>17</v>
      </c>
      <c r="E203">
        <v>10</v>
      </c>
      <c r="F203">
        <v>150</v>
      </c>
      <c r="G203">
        <v>1500</v>
      </c>
      <c r="H203">
        <v>0.01</v>
      </c>
      <c r="I203">
        <v>15</v>
      </c>
      <c r="J203" t="s">
        <v>18</v>
      </c>
    </row>
    <row r="204" spans="1:10" x14ac:dyDescent="0.45">
      <c r="A204" t="s">
        <v>253</v>
      </c>
      <c r="B204" t="s">
        <v>247</v>
      </c>
      <c r="C204" t="s">
        <v>12</v>
      </c>
      <c r="D204" t="s">
        <v>17</v>
      </c>
      <c r="E204">
        <v>17</v>
      </c>
      <c r="F204">
        <v>80</v>
      </c>
      <c r="G204">
        <v>1360</v>
      </c>
      <c r="H204">
        <v>0.03</v>
      </c>
      <c r="I204">
        <v>40.799999999999997</v>
      </c>
      <c r="J204" t="s">
        <v>21</v>
      </c>
    </row>
    <row r="205" spans="1:10" x14ac:dyDescent="0.45">
      <c r="A205" t="s">
        <v>254</v>
      </c>
      <c r="B205" t="s">
        <v>255</v>
      </c>
      <c r="C205" t="s">
        <v>20</v>
      </c>
      <c r="D205" t="s">
        <v>13</v>
      </c>
      <c r="E205">
        <v>9</v>
      </c>
      <c r="F205">
        <v>230</v>
      </c>
      <c r="G205">
        <v>2070</v>
      </c>
      <c r="H205">
        <v>7.0000000000000007E-2</v>
      </c>
      <c r="I205">
        <v>144.9</v>
      </c>
      <c r="J205" t="s">
        <v>23</v>
      </c>
    </row>
    <row r="206" spans="1:10" x14ac:dyDescent="0.45">
      <c r="A206" t="s">
        <v>256</v>
      </c>
      <c r="B206" t="s">
        <v>255</v>
      </c>
      <c r="C206" t="s">
        <v>20</v>
      </c>
      <c r="D206" t="s">
        <v>13</v>
      </c>
      <c r="E206">
        <v>11</v>
      </c>
      <c r="F206">
        <v>230</v>
      </c>
      <c r="G206">
        <v>2530</v>
      </c>
      <c r="H206">
        <v>0.02</v>
      </c>
      <c r="I206">
        <v>50.6</v>
      </c>
      <c r="J206" t="s">
        <v>26</v>
      </c>
    </row>
    <row r="207" spans="1:10" x14ac:dyDescent="0.45">
      <c r="A207" t="s">
        <v>257</v>
      </c>
      <c r="B207" t="s">
        <v>255</v>
      </c>
      <c r="C207" t="s">
        <v>16</v>
      </c>
      <c r="D207" t="s">
        <v>25</v>
      </c>
      <c r="E207">
        <v>2</v>
      </c>
      <c r="F207">
        <v>40</v>
      </c>
      <c r="G207">
        <v>80</v>
      </c>
      <c r="H207">
        <v>0.02</v>
      </c>
      <c r="I207">
        <v>1.6</v>
      </c>
      <c r="J207" t="s">
        <v>29</v>
      </c>
    </row>
    <row r="208" spans="1:10" x14ac:dyDescent="0.45">
      <c r="A208" t="s">
        <v>258</v>
      </c>
      <c r="B208" t="s">
        <v>255</v>
      </c>
      <c r="C208" t="s">
        <v>20</v>
      </c>
      <c r="D208" t="s">
        <v>32</v>
      </c>
      <c r="E208">
        <v>3</v>
      </c>
      <c r="F208">
        <v>230</v>
      </c>
      <c r="G208">
        <v>690</v>
      </c>
      <c r="H208">
        <v>0.1</v>
      </c>
      <c r="I208">
        <v>69</v>
      </c>
      <c r="J208" t="s">
        <v>33</v>
      </c>
    </row>
    <row r="209" spans="1:10" x14ac:dyDescent="0.45">
      <c r="A209" t="s">
        <v>259</v>
      </c>
      <c r="B209" t="s">
        <v>255</v>
      </c>
      <c r="C209" t="s">
        <v>16</v>
      </c>
      <c r="D209" t="s">
        <v>32</v>
      </c>
      <c r="E209">
        <v>7</v>
      </c>
      <c r="F209">
        <v>40</v>
      </c>
      <c r="G209">
        <v>280</v>
      </c>
      <c r="H209">
        <v>0.05</v>
      </c>
      <c r="I209">
        <v>14</v>
      </c>
      <c r="J209" t="s">
        <v>36</v>
      </c>
    </row>
    <row r="210" spans="1:10" x14ac:dyDescent="0.45">
      <c r="A210" t="s">
        <v>260</v>
      </c>
      <c r="B210" t="s">
        <v>255</v>
      </c>
      <c r="C210" t="s">
        <v>35</v>
      </c>
      <c r="D210" t="s">
        <v>17</v>
      </c>
      <c r="E210">
        <v>20</v>
      </c>
      <c r="F210">
        <v>150</v>
      </c>
      <c r="G210">
        <v>3000</v>
      </c>
      <c r="H210">
        <v>0.09</v>
      </c>
      <c r="I210">
        <v>270</v>
      </c>
      <c r="J210" t="s">
        <v>38</v>
      </c>
    </row>
    <row r="211" spans="1:10" x14ac:dyDescent="0.45">
      <c r="A211" t="s">
        <v>261</v>
      </c>
      <c r="B211" t="s">
        <v>255</v>
      </c>
      <c r="C211" t="s">
        <v>16</v>
      </c>
      <c r="D211" t="s">
        <v>25</v>
      </c>
      <c r="E211">
        <v>4</v>
      </c>
      <c r="F211">
        <v>40</v>
      </c>
      <c r="G211">
        <v>160</v>
      </c>
      <c r="H211">
        <v>0.11</v>
      </c>
      <c r="I211">
        <v>17.600000000000001</v>
      </c>
      <c r="J211" t="s">
        <v>40</v>
      </c>
    </row>
    <row r="212" spans="1:10" x14ac:dyDescent="0.45">
      <c r="A212" t="s">
        <v>262</v>
      </c>
      <c r="B212" t="s">
        <v>263</v>
      </c>
      <c r="C212" t="s">
        <v>20</v>
      </c>
      <c r="D212" t="s">
        <v>25</v>
      </c>
      <c r="E212">
        <v>2</v>
      </c>
      <c r="F212">
        <v>230</v>
      </c>
      <c r="G212">
        <v>460</v>
      </c>
      <c r="H212">
        <v>0.09</v>
      </c>
      <c r="I212">
        <v>41.4</v>
      </c>
      <c r="J212" t="s">
        <v>14</v>
      </c>
    </row>
    <row r="213" spans="1:10" x14ac:dyDescent="0.45">
      <c r="A213" t="s">
        <v>264</v>
      </c>
      <c r="B213" t="s">
        <v>263</v>
      </c>
      <c r="C213" t="s">
        <v>16</v>
      </c>
      <c r="D213" t="s">
        <v>17</v>
      </c>
      <c r="E213">
        <v>7</v>
      </c>
      <c r="F213">
        <v>40</v>
      </c>
      <c r="G213">
        <v>280</v>
      </c>
      <c r="H213">
        <v>0.01</v>
      </c>
      <c r="I213">
        <v>2.8000000000000003</v>
      </c>
      <c r="J213" t="s">
        <v>18</v>
      </c>
    </row>
    <row r="214" spans="1:10" x14ac:dyDescent="0.45">
      <c r="A214" t="s">
        <v>265</v>
      </c>
      <c r="B214" t="s">
        <v>263</v>
      </c>
      <c r="C214" t="s">
        <v>16</v>
      </c>
      <c r="D214" t="s">
        <v>13</v>
      </c>
      <c r="E214">
        <v>2</v>
      </c>
      <c r="F214">
        <v>40</v>
      </c>
      <c r="G214">
        <v>80</v>
      </c>
      <c r="H214">
        <v>0.12</v>
      </c>
      <c r="I214">
        <v>9.6</v>
      </c>
      <c r="J214" t="s">
        <v>21</v>
      </c>
    </row>
    <row r="215" spans="1:10" x14ac:dyDescent="0.45">
      <c r="A215" t="s">
        <v>266</v>
      </c>
      <c r="B215" t="s">
        <v>263</v>
      </c>
      <c r="C215" t="s">
        <v>12</v>
      </c>
      <c r="D215" t="s">
        <v>17</v>
      </c>
      <c r="E215">
        <v>3</v>
      </c>
      <c r="F215">
        <v>80</v>
      </c>
      <c r="G215">
        <v>240</v>
      </c>
      <c r="H215">
        <v>0.02</v>
      </c>
      <c r="I215">
        <v>4.8</v>
      </c>
      <c r="J215" t="s">
        <v>23</v>
      </c>
    </row>
    <row r="216" spans="1:10" x14ac:dyDescent="0.45">
      <c r="A216" t="s">
        <v>267</v>
      </c>
      <c r="B216" t="s">
        <v>263</v>
      </c>
      <c r="C216" t="s">
        <v>31</v>
      </c>
      <c r="D216" t="s">
        <v>13</v>
      </c>
      <c r="E216">
        <v>18</v>
      </c>
      <c r="F216">
        <v>16</v>
      </c>
      <c r="G216">
        <v>288</v>
      </c>
      <c r="H216">
        <v>0.11</v>
      </c>
      <c r="I216">
        <v>31.68</v>
      </c>
      <c r="J216" t="s">
        <v>26</v>
      </c>
    </row>
    <row r="217" spans="1:10" x14ac:dyDescent="0.45">
      <c r="A217" t="s">
        <v>268</v>
      </c>
      <c r="B217" t="s">
        <v>263</v>
      </c>
      <c r="C217" t="s">
        <v>12</v>
      </c>
      <c r="D217" t="s">
        <v>17</v>
      </c>
      <c r="E217">
        <v>5</v>
      </c>
      <c r="F217">
        <v>80</v>
      </c>
      <c r="G217">
        <v>400</v>
      </c>
      <c r="H217">
        <v>7.0000000000000007E-2</v>
      </c>
      <c r="I217">
        <v>28.000000000000004</v>
      </c>
      <c r="J217" t="s">
        <v>29</v>
      </c>
    </row>
    <row r="218" spans="1:10" x14ac:dyDescent="0.45">
      <c r="A218" t="s">
        <v>269</v>
      </c>
      <c r="B218" t="s">
        <v>263</v>
      </c>
      <c r="C218" t="s">
        <v>31</v>
      </c>
      <c r="D218" t="s">
        <v>25</v>
      </c>
      <c r="E218">
        <v>3</v>
      </c>
      <c r="F218">
        <v>16</v>
      </c>
      <c r="G218">
        <v>48</v>
      </c>
      <c r="H218">
        <v>0.05</v>
      </c>
      <c r="I218">
        <v>2.4000000000000004</v>
      </c>
      <c r="J218" t="s">
        <v>33</v>
      </c>
    </row>
    <row r="219" spans="1:10" x14ac:dyDescent="0.45">
      <c r="A219" t="s">
        <v>270</v>
      </c>
      <c r="B219" t="s">
        <v>263</v>
      </c>
      <c r="C219" t="s">
        <v>12</v>
      </c>
      <c r="D219" t="s">
        <v>28</v>
      </c>
      <c r="E219">
        <v>7</v>
      </c>
      <c r="F219">
        <v>80</v>
      </c>
      <c r="G219">
        <v>560</v>
      </c>
      <c r="H219">
        <v>0.02</v>
      </c>
      <c r="I219">
        <v>11.200000000000001</v>
      </c>
      <c r="J219" t="s">
        <v>36</v>
      </c>
    </row>
    <row r="220" spans="1:10" x14ac:dyDescent="0.45">
      <c r="A220" t="s">
        <v>271</v>
      </c>
      <c r="B220" t="s">
        <v>263</v>
      </c>
      <c r="C220" t="s">
        <v>35</v>
      </c>
      <c r="D220" t="s">
        <v>28</v>
      </c>
      <c r="E220">
        <v>15</v>
      </c>
      <c r="F220">
        <v>150</v>
      </c>
      <c r="G220">
        <v>2250</v>
      </c>
      <c r="H220">
        <v>0.08</v>
      </c>
      <c r="I220">
        <v>180</v>
      </c>
      <c r="J220" t="s">
        <v>38</v>
      </c>
    </row>
    <row r="221" spans="1:10" x14ac:dyDescent="0.45">
      <c r="A221" t="s">
        <v>272</v>
      </c>
      <c r="B221" t="s">
        <v>263</v>
      </c>
      <c r="C221" t="s">
        <v>12</v>
      </c>
      <c r="D221" t="s">
        <v>25</v>
      </c>
      <c r="E221">
        <v>10</v>
      </c>
      <c r="F221">
        <v>80</v>
      </c>
      <c r="G221">
        <v>800</v>
      </c>
      <c r="H221">
        <v>0.11</v>
      </c>
      <c r="I221">
        <v>88</v>
      </c>
      <c r="J221" t="s">
        <v>40</v>
      </c>
    </row>
    <row r="222" spans="1:10" x14ac:dyDescent="0.45">
      <c r="A222" t="s">
        <v>273</v>
      </c>
      <c r="B222" t="s">
        <v>263</v>
      </c>
      <c r="C222" t="s">
        <v>20</v>
      </c>
      <c r="D222" t="s">
        <v>32</v>
      </c>
      <c r="E222">
        <v>13</v>
      </c>
      <c r="F222">
        <v>230</v>
      </c>
      <c r="G222">
        <v>2990</v>
      </c>
      <c r="H222">
        <v>0.06</v>
      </c>
      <c r="I222">
        <v>179.4</v>
      </c>
      <c r="J222" t="s">
        <v>42</v>
      </c>
    </row>
    <row r="223" spans="1:10" x14ac:dyDescent="0.45">
      <c r="A223" t="s">
        <v>274</v>
      </c>
      <c r="B223" t="s">
        <v>263</v>
      </c>
      <c r="C223" t="s">
        <v>16</v>
      </c>
      <c r="D223" t="s">
        <v>13</v>
      </c>
      <c r="E223">
        <v>7</v>
      </c>
      <c r="F223">
        <v>40</v>
      </c>
      <c r="G223">
        <v>280</v>
      </c>
      <c r="H223">
        <v>0.1</v>
      </c>
      <c r="I223">
        <v>28</v>
      </c>
      <c r="J223" t="s">
        <v>45</v>
      </c>
    </row>
    <row r="224" spans="1:10" x14ac:dyDescent="0.45">
      <c r="A224" t="s">
        <v>275</v>
      </c>
      <c r="B224" t="s">
        <v>263</v>
      </c>
      <c r="C224" t="s">
        <v>31</v>
      </c>
      <c r="D224" t="s">
        <v>25</v>
      </c>
      <c r="E224">
        <v>6</v>
      </c>
      <c r="F224">
        <v>16</v>
      </c>
      <c r="G224">
        <v>96</v>
      </c>
      <c r="H224">
        <v>0.01</v>
      </c>
      <c r="I224">
        <v>0.96</v>
      </c>
      <c r="J224" t="s">
        <v>14</v>
      </c>
    </row>
    <row r="225" spans="1:10" x14ac:dyDescent="0.45">
      <c r="A225" t="s">
        <v>276</v>
      </c>
      <c r="B225" t="s">
        <v>277</v>
      </c>
      <c r="C225" t="s">
        <v>16</v>
      </c>
      <c r="D225" t="s">
        <v>25</v>
      </c>
      <c r="E225">
        <v>11</v>
      </c>
      <c r="F225">
        <v>40</v>
      </c>
      <c r="G225">
        <v>440</v>
      </c>
      <c r="H225">
        <v>0.05</v>
      </c>
      <c r="I225">
        <v>22</v>
      </c>
      <c r="J225" t="s">
        <v>18</v>
      </c>
    </row>
    <row r="226" spans="1:10" x14ac:dyDescent="0.45">
      <c r="A226" t="s">
        <v>278</v>
      </c>
      <c r="B226" t="s">
        <v>277</v>
      </c>
      <c r="C226" t="s">
        <v>12</v>
      </c>
      <c r="D226" t="s">
        <v>28</v>
      </c>
      <c r="E226">
        <v>8</v>
      </c>
      <c r="F226">
        <v>80</v>
      </c>
      <c r="G226">
        <v>640</v>
      </c>
      <c r="H226">
        <v>0.06</v>
      </c>
      <c r="I226">
        <v>38.4</v>
      </c>
      <c r="J226" t="s">
        <v>21</v>
      </c>
    </row>
    <row r="227" spans="1:10" x14ac:dyDescent="0.45">
      <c r="A227" t="s">
        <v>279</v>
      </c>
      <c r="B227" t="s">
        <v>277</v>
      </c>
      <c r="C227" t="s">
        <v>12</v>
      </c>
      <c r="D227" t="s">
        <v>13</v>
      </c>
      <c r="E227">
        <v>9</v>
      </c>
      <c r="F227">
        <v>80</v>
      </c>
      <c r="G227">
        <v>720</v>
      </c>
      <c r="H227">
        <v>0.04</v>
      </c>
      <c r="I227">
        <v>28.8</v>
      </c>
      <c r="J227" t="s">
        <v>23</v>
      </c>
    </row>
    <row r="228" spans="1:10" x14ac:dyDescent="0.45">
      <c r="A228" t="s">
        <v>280</v>
      </c>
      <c r="B228" t="s">
        <v>277</v>
      </c>
      <c r="C228" t="s">
        <v>16</v>
      </c>
      <c r="D228" t="s">
        <v>32</v>
      </c>
      <c r="E228">
        <v>4</v>
      </c>
      <c r="F228">
        <v>40</v>
      </c>
      <c r="G228">
        <v>160</v>
      </c>
      <c r="H228">
        <v>0.09</v>
      </c>
      <c r="I228">
        <v>14.399999999999999</v>
      </c>
      <c r="J228" t="s">
        <v>26</v>
      </c>
    </row>
    <row r="229" spans="1:10" x14ac:dyDescent="0.45">
      <c r="A229" t="s">
        <v>281</v>
      </c>
      <c r="B229" t="s">
        <v>277</v>
      </c>
      <c r="C229" t="s">
        <v>12</v>
      </c>
      <c r="D229" t="s">
        <v>17</v>
      </c>
      <c r="E229">
        <v>13</v>
      </c>
      <c r="F229">
        <v>80</v>
      </c>
      <c r="G229">
        <v>1040</v>
      </c>
      <c r="H229">
        <v>0.06</v>
      </c>
      <c r="I229">
        <v>62.4</v>
      </c>
      <c r="J229" t="s">
        <v>29</v>
      </c>
    </row>
    <row r="230" spans="1:10" x14ac:dyDescent="0.45">
      <c r="A230" t="s">
        <v>282</v>
      </c>
      <c r="B230" t="s">
        <v>277</v>
      </c>
      <c r="C230" t="s">
        <v>35</v>
      </c>
      <c r="D230" t="s">
        <v>32</v>
      </c>
      <c r="E230">
        <v>4</v>
      </c>
      <c r="F230">
        <v>150</v>
      </c>
      <c r="G230">
        <v>600</v>
      </c>
      <c r="H230">
        <v>0.05</v>
      </c>
      <c r="I230">
        <v>30</v>
      </c>
      <c r="J230" t="s">
        <v>33</v>
      </c>
    </row>
    <row r="231" spans="1:10" x14ac:dyDescent="0.45">
      <c r="A231" t="s">
        <v>283</v>
      </c>
      <c r="B231" t="s">
        <v>277</v>
      </c>
      <c r="C231" t="s">
        <v>20</v>
      </c>
      <c r="D231" t="s">
        <v>25</v>
      </c>
      <c r="E231">
        <v>14</v>
      </c>
      <c r="F231">
        <v>230</v>
      </c>
      <c r="G231">
        <v>3220</v>
      </c>
      <c r="H231">
        <v>0.12</v>
      </c>
      <c r="I231">
        <v>386.4</v>
      </c>
      <c r="J231" t="s">
        <v>36</v>
      </c>
    </row>
    <row r="232" spans="1:10" x14ac:dyDescent="0.45">
      <c r="A232" t="s">
        <v>284</v>
      </c>
      <c r="B232" t="s">
        <v>277</v>
      </c>
      <c r="C232" t="s">
        <v>35</v>
      </c>
      <c r="D232" t="s">
        <v>32</v>
      </c>
      <c r="E232">
        <v>13</v>
      </c>
      <c r="F232">
        <v>150</v>
      </c>
      <c r="G232">
        <v>1950</v>
      </c>
      <c r="H232">
        <v>0.11</v>
      </c>
      <c r="I232">
        <v>214.5</v>
      </c>
      <c r="J232" t="s">
        <v>38</v>
      </c>
    </row>
    <row r="233" spans="1:10" x14ac:dyDescent="0.45">
      <c r="A233" t="s">
        <v>285</v>
      </c>
      <c r="B233" t="s">
        <v>277</v>
      </c>
      <c r="C233" t="s">
        <v>35</v>
      </c>
      <c r="D233" t="s">
        <v>17</v>
      </c>
      <c r="E233">
        <v>16</v>
      </c>
      <c r="F233">
        <v>150</v>
      </c>
      <c r="G233">
        <v>2400</v>
      </c>
      <c r="H233">
        <v>0.03</v>
      </c>
      <c r="I233">
        <v>72</v>
      </c>
      <c r="J233" t="s">
        <v>40</v>
      </c>
    </row>
    <row r="234" spans="1:10" x14ac:dyDescent="0.45">
      <c r="A234" t="s">
        <v>286</v>
      </c>
      <c r="B234" t="s">
        <v>277</v>
      </c>
      <c r="C234" t="s">
        <v>31</v>
      </c>
      <c r="D234" t="s">
        <v>13</v>
      </c>
      <c r="E234">
        <v>7</v>
      </c>
      <c r="F234">
        <v>16</v>
      </c>
      <c r="G234">
        <v>112</v>
      </c>
      <c r="H234">
        <v>0.12</v>
      </c>
      <c r="I234">
        <v>13.44</v>
      </c>
      <c r="J234" t="s">
        <v>42</v>
      </c>
    </row>
    <row r="235" spans="1:10" x14ac:dyDescent="0.45">
      <c r="A235" t="s">
        <v>287</v>
      </c>
      <c r="B235" t="s">
        <v>277</v>
      </c>
      <c r="C235" t="s">
        <v>35</v>
      </c>
      <c r="D235" t="s">
        <v>28</v>
      </c>
      <c r="E235">
        <v>9</v>
      </c>
      <c r="F235">
        <v>150</v>
      </c>
      <c r="G235">
        <v>1350</v>
      </c>
      <c r="H235">
        <v>0.02</v>
      </c>
      <c r="I235">
        <v>27</v>
      </c>
      <c r="J235" t="s">
        <v>45</v>
      </c>
    </row>
    <row r="236" spans="1:10" x14ac:dyDescent="0.45">
      <c r="A236" t="s">
        <v>288</v>
      </c>
      <c r="B236" t="s">
        <v>277</v>
      </c>
      <c r="C236" t="s">
        <v>31</v>
      </c>
      <c r="D236" t="s">
        <v>13</v>
      </c>
      <c r="E236">
        <v>10</v>
      </c>
      <c r="F236">
        <v>16</v>
      </c>
      <c r="G236">
        <v>160</v>
      </c>
      <c r="H236">
        <v>0.08</v>
      </c>
      <c r="I236">
        <v>12.8</v>
      </c>
      <c r="J236" t="s">
        <v>14</v>
      </c>
    </row>
    <row r="237" spans="1:10" x14ac:dyDescent="0.45">
      <c r="A237" t="s">
        <v>289</v>
      </c>
      <c r="B237" t="s">
        <v>277</v>
      </c>
      <c r="C237" t="s">
        <v>12</v>
      </c>
      <c r="D237" t="s">
        <v>28</v>
      </c>
      <c r="E237">
        <v>15</v>
      </c>
      <c r="F237">
        <v>80</v>
      </c>
      <c r="G237">
        <v>1200</v>
      </c>
      <c r="H237">
        <v>0.08</v>
      </c>
      <c r="I237">
        <v>96</v>
      </c>
      <c r="J237" t="s">
        <v>18</v>
      </c>
    </row>
    <row r="238" spans="1:10" x14ac:dyDescent="0.45">
      <c r="A238" t="s">
        <v>290</v>
      </c>
      <c r="B238" t="s">
        <v>277</v>
      </c>
      <c r="C238" t="s">
        <v>12</v>
      </c>
      <c r="D238" t="s">
        <v>32</v>
      </c>
      <c r="E238">
        <v>9</v>
      </c>
      <c r="F238">
        <v>80</v>
      </c>
      <c r="G238">
        <v>720</v>
      </c>
      <c r="H238">
        <v>0.06</v>
      </c>
      <c r="I238">
        <v>43.199999999999996</v>
      </c>
      <c r="J238" t="s">
        <v>21</v>
      </c>
    </row>
    <row r="239" spans="1:10" x14ac:dyDescent="0.45">
      <c r="A239" t="s">
        <v>291</v>
      </c>
      <c r="B239" t="s">
        <v>292</v>
      </c>
      <c r="C239" t="s">
        <v>31</v>
      </c>
      <c r="D239" t="s">
        <v>28</v>
      </c>
      <c r="E239">
        <v>7</v>
      </c>
      <c r="F239">
        <v>16</v>
      </c>
      <c r="G239">
        <v>112</v>
      </c>
      <c r="H239">
        <v>0.08</v>
      </c>
      <c r="I239">
        <v>8.9600000000000009</v>
      </c>
      <c r="J239" t="s">
        <v>23</v>
      </c>
    </row>
    <row r="240" spans="1:10" x14ac:dyDescent="0.45">
      <c r="A240" t="s">
        <v>293</v>
      </c>
      <c r="B240" t="s">
        <v>292</v>
      </c>
      <c r="C240" t="s">
        <v>35</v>
      </c>
      <c r="D240" t="s">
        <v>32</v>
      </c>
      <c r="E240">
        <v>7</v>
      </c>
      <c r="F240">
        <v>150</v>
      </c>
      <c r="G240">
        <v>1050</v>
      </c>
      <c r="H240">
        <v>0.03</v>
      </c>
      <c r="I240">
        <v>31.5</v>
      </c>
      <c r="J240" t="s">
        <v>26</v>
      </c>
    </row>
    <row r="241" spans="1:10" x14ac:dyDescent="0.45">
      <c r="A241" t="s">
        <v>294</v>
      </c>
      <c r="B241" t="s">
        <v>292</v>
      </c>
      <c r="C241" t="s">
        <v>20</v>
      </c>
      <c r="D241" t="s">
        <v>28</v>
      </c>
      <c r="E241">
        <v>16</v>
      </c>
      <c r="F241">
        <v>230</v>
      </c>
      <c r="G241">
        <v>3680</v>
      </c>
      <c r="H241">
        <v>0.11</v>
      </c>
      <c r="I241">
        <v>404.8</v>
      </c>
      <c r="J241" t="s">
        <v>29</v>
      </c>
    </row>
    <row r="242" spans="1:10" x14ac:dyDescent="0.45">
      <c r="A242" t="s">
        <v>295</v>
      </c>
      <c r="B242" t="s">
        <v>292</v>
      </c>
      <c r="C242" t="s">
        <v>31</v>
      </c>
      <c r="D242" t="s">
        <v>28</v>
      </c>
      <c r="E242">
        <v>18</v>
      </c>
      <c r="F242">
        <v>16</v>
      </c>
      <c r="G242">
        <v>288</v>
      </c>
      <c r="H242">
        <v>0.04</v>
      </c>
      <c r="I242">
        <v>11.52</v>
      </c>
      <c r="J242" t="s">
        <v>33</v>
      </c>
    </row>
    <row r="243" spans="1:10" x14ac:dyDescent="0.45">
      <c r="A243" t="s">
        <v>296</v>
      </c>
      <c r="B243" t="s">
        <v>292</v>
      </c>
      <c r="C243" t="s">
        <v>20</v>
      </c>
      <c r="D243" t="s">
        <v>32</v>
      </c>
      <c r="E243">
        <v>20</v>
      </c>
      <c r="F243">
        <v>230</v>
      </c>
      <c r="G243">
        <v>4600</v>
      </c>
      <c r="H243">
        <v>0.11</v>
      </c>
      <c r="I243">
        <v>506</v>
      </c>
      <c r="J243" t="s">
        <v>36</v>
      </c>
    </row>
    <row r="244" spans="1:10" x14ac:dyDescent="0.45">
      <c r="A244" t="s">
        <v>297</v>
      </c>
      <c r="B244" t="s">
        <v>292</v>
      </c>
      <c r="C244" t="s">
        <v>35</v>
      </c>
      <c r="D244" t="s">
        <v>13</v>
      </c>
      <c r="E244">
        <v>7</v>
      </c>
      <c r="F244">
        <v>150</v>
      </c>
      <c r="G244">
        <v>1050</v>
      </c>
      <c r="H244">
        <v>0.02</v>
      </c>
      <c r="I244">
        <v>21</v>
      </c>
      <c r="J244" t="s">
        <v>38</v>
      </c>
    </row>
    <row r="245" spans="1:10" x14ac:dyDescent="0.45">
      <c r="A245" t="s">
        <v>298</v>
      </c>
      <c r="B245" t="s">
        <v>292</v>
      </c>
      <c r="C245" t="s">
        <v>31</v>
      </c>
      <c r="D245" t="s">
        <v>25</v>
      </c>
      <c r="E245">
        <v>11</v>
      </c>
      <c r="F245">
        <v>16</v>
      </c>
      <c r="G245">
        <v>176</v>
      </c>
      <c r="H245">
        <v>0.12</v>
      </c>
      <c r="I245">
        <v>21.119999999999997</v>
      </c>
      <c r="J245" t="s">
        <v>40</v>
      </c>
    </row>
    <row r="246" spans="1:10" x14ac:dyDescent="0.45">
      <c r="A246" t="s">
        <v>299</v>
      </c>
      <c r="B246" t="s">
        <v>292</v>
      </c>
      <c r="C246" t="s">
        <v>16</v>
      </c>
      <c r="D246" t="s">
        <v>25</v>
      </c>
      <c r="E246">
        <v>12</v>
      </c>
      <c r="F246">
        <v>40</v>
      </c>
      <c r="G246">
        <v>480</v>
      </c>
      <c r="H246">
        <v>0.02</v>
      </c>
      <c r="I246">
        <v>9.6</v>
      </c>
      <c r="J246" t="s">
        <v>42</v>
      </c>
    </row>
    <row r="247" spans="1:10" x14ac:dyDescent="0.45">
      <c r="A247" t="s">
        <v>300</v>
      </c>
      <c r="B247" t="s">
        <v>292</v>
      </c>
      <c r="C247" t="s">
        <v>35</v>
      </c>
      <c r="D247" t="s">
        <v>32</v>
      </c>
      <c r="E247">
        <v>7</v>
      </c>
      <c r="F247">
        <v>150</v>
      </c>
      <c r="G247">
        <v>1050</v>
      </c>
      <c r="H247">
        <v>0.02</v>
      </c>
      <c r="I247">
        <v>21</v>
      </c>
      <c r="J247" t="s">
        <v>45</v>
      </c>
    </row>
    <row r="248" spans="1:10" x14ac:dyDescent="0.45">
      <c r="A248" t="s">
        <v>301</v>
      </c>
      <c r="B248" t="s">
        <v>292</v>
      </c>
      <c r="C248" t="s">
        <v>12</v>
      </c>
      <c r="D248" t="s">
        <v>25</v>
      </c>
      <c r="E248">
        <v>14</v>
      </c>
      <c r="F248">
        <v>80</v>
      </c>
      <c r="G248">
        <v>1120</v>
      </c>
      <c r="H248">
        <v>0.1</v>
      </c>
      <c r="I248">
        <v>112</v>
      </c>
      <c r="J248" t="s">
        <v>14</v>
      </c>
    </row>
    <row r="249" spans="1:10" x14ac:dyDescent="0.45">
      <c r="A249" t="s">
        <v>302</v>
      </c>
      <c r="B249" t="s">
        <v>292</v>
      </c>
      <c r="C249" t="s">
        <v>20</v>
      </c>
      <c r="D249" t="s">
        <v>25</v>
      </c>
      <c r="E249">
        <v>12</v>
      </c>
      <c r="F249">
        <v>230</v>
      </c>
      <c r="G249">
        <v>2760</v>
      </c>
      <c r="H249">
        <v>0.06</v>
      </c>
      <c r="I249">
        <v>165.6</v>
      </c>
      <c r="J249" t="s">
        <v>18</v>
      </c>
    </row>
    <row r="250" spans="1:10" x14ac:dyDescent="0.45">
      <c r="A250" t="s">
        <v>303</v>
      </c>
      <c r="B250" t="s">
        <v>304</v>
      </c>
      <c r="C250" t="s">
        <v>12</v>
      </c>
      <c r="D250" t="s">
        <v>17</v>
      </c>
      <c r="E250">
        <v>21</v>
      </c>
      <c r="F250">
        <v>80</v>
      </c>
      <c r="G250">
        <v>1680</v>
      </c>
      <c r="H250">
        <v>0.04</v>
      </c>
      <c r="I250">
        <v>67.2</v>
      </c>
      <c r="J250" t="s">
        <v>21</v>
      </c>
    </row>
    <row r="251" spans="1:10" x14ac:dyDescent="0.45">
      <c r="A251" t="s">
        <v>305</v>
      </c>
      <c r="B251" t="s">
        <v>304</v>
      </c>
      <c r="C251" t="s">
        <v>35</v>
      </c>
      <c r="D251" t="s">
        <v>13</v>
      </c>
      <c r="E251">
        <v>8</v>
      </c>
      <c r="F251">
        <v>150</v>
      </c>
      <c r="G251">
        <v>1200</v>
      </c>
      <c r="H251">
        <v>0.09</v>
      </c>
      <c r="I251">
        <v>108</v>
      </c>
      <c r="J251" t="s">
        <v>23</v>
      </c>
    </row>
    <row r="252" spans="1:10" x14ac:dyDescent="0.45">
      <c r="A252" t="s">
        <v>306</v>
      </c>
      <c r="B252" t="s">
        <v>304</v>
      </c>
      <c r="C252" t="s">
        <v>12</v>
      </c>
      <c r="D252" t="s">
        <v>17</v>
      </c>
      <c r="E252">
        <v>16</v>
      </c>
      <c r="F252">
        <v>80</v>
      </c>
      <c r="G252">
        <v>1280</v>
      </c>
      <c r="H252">
        <v>0.04</v>
      </c>
      <c r="I252">
        <v>51.2</v>
      </c>
      <c r="J252" t="s">
        <v>26</v>
      </c>
    </row>
    <row r="253" spans="1:10" x14ac:dyDescent="0.45">
      <c r="A253" t="s">
        <v>307</v>
      </c>
      <c r="B253" t="s">
        <v>304</v>
      </c>
      <c r="C253" t="s">
        <v>20</v>
      </c>
      <c r="D253" t="s">
        <v>17</v>
      </c>
      <c r="E253">
        <v>14</v>
      </c>
      <c r="F253">
        <v>230</v>
      </c>
      <c r="G253">
        <v>3220</v>
      </c>
      <c r="H253">
        <v>0.05</v>
      </c>
      <c r="I253">
        <v>161</v>
      </c>
      <c r="J253" t="s">
        <v>29</v>
      </c>
    </row>
    <row r="254" spans="1:10" x14ac:dyDescent="0.45">
      <c r="A254" t="s">
        <v>308</v>
      </c>
      <c r="B254" t="s">
        <v>304</v>
      </c>
      <c r="C254" t="s">
        <v>16</v>
      </c>
      <c r="D254" t="s">
        <v>25</v>
      </c>
      <c r="E254">
        <v>2</v>
      </c>
      <c r="F254">
        <v>40</v>
      </c>
      <c r="G254">
        <v>80</v>
      </c>
      <c r="H254">
        <v>0.03</v>
      </c>
      <c r="I254">
        <v>2.4</v>
      </c>
      <c r="J254" t="s">
        <v>33</v>
      </c>
    </row>
    <row r="255" spans="1:10" x14ac:dyDescent="0.45">
      <c r="A255" t="s">
        <v>309</v>
      </c>
      <c r="B255" t="s">
        <v>304</v>
      </c>
      <c r="C255" t="s">
        <v>35</v>
      </c>
      <c r="D255" t="s">
        <v>13</v>
      </c>
      <c r="E255">
        <v>4</v>
      </c>
      <c r="F255">
        <v>150</v>
      </c>
      <c r="G255">
        <v>600</v>
      </c>
      <c r="H255">
        <v>0.1</v>
      </c>
      <c r="I255">
        <v>60</v>
      </c>
      <c r="J255" t="s">
        <v>36</v>
      </c>
    </row>
    <row r="256" spans="1:10" x14ac:dyDescent="0.45">
      <c r="A256" t="s">
        <v>310</v>
      </c>
      <c r="B256" t="s">
        <v>304</v>
      </c>
      <c r="C256" t="s">
        <v>12</v>
      </c>
      <c r="D256" t="s">
        <v>25</v>
      </c>
      <c r="E256">
        <v>6</v>
      </c>
      <c r="F256">
        <v>80</v>
      </c>
      <c r="G256">
        <v>480</v>
      </c>
      <c r="H256">
        <v>0.01</v>
      </c>
      <c r="I256">
        <v>4.8</v>
      </c>
      <c r="J256" t="s">
        <v>38</v>
      </c>
    </row>
    <row r="257" spans="1:10" x14ac:dyDescent="0.45">
      <c r="A257" t="s">
        <v>311</v>
      </c>
      <c r="B257" t="s">
        <v>304</v>
      </c>
      <c r="C257" t="s">
        <v>16</v>
      </c>
      <c r="D257" t="s">
        <v>25</v>
      </c>
      <c r="E257">
        <v>6</v>
      </c>
      <c r="F257">
        <v>40</v>
      </c>
      <c r="G257">
        <v>240</v>
      </c>
      <c r="H257">
        <v>0.06</v>
      </c>
      <c r="I257">
        <v>14.399999999999999</v>
      </c>
      <c r="J257" t="s">
        <v>40</v>
      </c>
    </row>
    <row r="258" spans="1:10" x14ac:dyDescent="0.45">
      <c r="A258" t="s">
        <v>312</v>
      </c>
      <c r="B258" t="s">
        <v>304</v>
      </c>
      <c r="C258" t="s">
        <v>35</v>
      </c>
      <c r="D258" t="s">
        <v>13</v>
      </c>
      <c r="E258">
        <v>20</v>
      </c>
      <c r="F258">
        <v>150</v>
      </c>
      <c r="G258">
        <v>3000</v>
      </c>
      <c r="H258">
        <v>0.04</v>
      </c>
      <c r="I258">
        <v>120</v>
      </c>
      <c r="J258" t="s">
        <v>42</v>
      </c>
    </row>
    <row r="259" spans="1:10" x14ac:dyDescent="0.45">
      <c r="A259" t="s">
        <v>313</v>
      </c>
      <c r="B259" t="s">
        <v>304</v>
      </c>
      <c r="C259" t="s">
        <v>16</v>
      </c>
      <c r="D259" t="s">
        <v>25</v>
      </c>
      <c r="E259">
        <v>18</v>
      </c>
      <c r="F259">
        <v>40</v>
      </c>
      <c r="G259">
        <v>720</v>
      </c>
      <c r="H259">
        <v>0.03</v>
      </c>
      <c r="I259">
        <v>21.599999999999998</v>
      </c>
      <c r="J259" t="s">
        <v>45</v>
      </c>
    </row>
    <row r="260" spans="1:10" x14ac:dyDescent="0.45">
      <c r="A260" t="s">
        <v>314</v>
      </c>
      <c r="B260" t="s">
        <v>304</v>
      </c>
      <c r="C260" t="s">
        <v>20</v>
      </c>
      <c r="D260" t="s">
        <v>28</v>
      </c>
      <c r="E260">
        <v>18</v>
      </c>
      <c r="F260">
        <v>230</v>
      </c>
      <c r="G260">
        <v>4140</v>
      </c>
      <c r="H260">
        <v>0.01</v>
      </c>
      <c r="I260">
        <v>41.4</v>
      </c>
      <c r="J260" t="s">
        <v>14</v>
      </c>
    </row>
    <row r="261" spans="1:10" x14ac:dyDescent="0.45">
      <c r="A261" t="s">
        <v>315</v>
      </c>
      <c r="B261" t="s">
        <v>304</v>
      </c>
      <c r="C261" t="s">
        <v>20</v>
      </c>
      <c r="D261" t="s">
        <v>25</v>
      </c>
      <c r="E261">
        <v>15</v>
      </c>
      <c r="F261">
        <v>230</v>
      </c>
      <c r="G261">
        <v>3450</v>
      </c>
      <c r="H261">
        <v>0.04</v>
      </c>
      <c r="I261">
        <v>138</v>
      </c>
      <c r="J261" t="s">
        <v>18</v>
      </c>
    </row>
    <row r="262" spans="1:10" x14ac:dyDescent="0.45">
      <c r="A262" t="s">
        <v>316</v>
      </c>
      <c r="B262" t="s">
        <v>304</v>
      </c>
      <c r="C262" t="s">
        <v>31</v>
      </c>
      <c r="D262" t="s">
        <v>17</v>
      </c>
      <c r="E262">
        <v>22</v>
      </c>
      <c r="F262">
        <v>16</v>
      </c>
      <c r="G262">
        <v>352</v>
      </c>
      <c r="H262">
        <v>0.01</v>
      </c>
      <c r="I262">
        <v>3.52</v>
      </c>
      <c r="J262" t="s">
        <v>21</v>
      </c>
    </row>
    <row r="263" spans="1:10" x14ac:dyDescent="0.45">
      <c r="A263" t="s">
        <v>317</v>
      </c>
      <c r="B263" t="s">
        <v>304</v>
      </c>
      <c r="C263" t="s">
        <v>35</v>
      </c>
      <c r="D263" t="s">
        <v>13</v>
      </c>
      <c r="E263">
        <v>17</v>
      </c>
      <c r="F263">
        <v>150</v>
      </c>
      <c r="G263">
        <v>2550</v>
      </c>
      <c r="H263">
        <v>0.12</v>
      </c>
      <c r="I263">
        <v>306</v>
      </c>
      <c r="J263" t="s">
        <v>23</v>
      </c>
    </row>
    <row r="264" spans="1:10" x14ac:dyDescent="0.45">
      <c r="A264" t="s">
        <v>318</v>
      </c>
      <c r="B264" t="s">
        <v>319</v>
      </c>
      <c r="C264" t="s">
        <v>31</v>
      </c>
      <c r="D264" t="s">
        <v>17</v>
      </c>
      <c r="E264">
        <v>5</v>
      </c>
      <c r="F264">
        <v>16</v>
      </c>
      <c r="G264">
        <v>80</v>
      </c>
      <c r="H264">
        <v>0.11</v>
      </c>
      <c r="I264">
        <v>8.8000000000000007</v>
      </c>
      <c r="J264" t="s">
        <v>26</v>
      </c>
    </row>
    <row r="265" spans="1:10" x14ac:dyDescent="0.45">
      <c r="A265" t="s">
        <v>320</v>
      </c>
      <c r="B265" t="s">
        <v>319</v>
      </c>
      <c r="C265" t="s">
        <v>35</v>
      </c>
      <c r="D265" t="s">
        <v>13</v>
      </c>
      <c r="E265">
        <v>23</v>
      </c>
      <c r="F265">
        <v>150</v>
      </c>
      <c r="G265">
        <v>3450</v>
      </c>
      <c r="H265">
        <v>0.1</v>
      </c>
      <c r="I265">
        <v>345</v>
      </c>
      <c r="J265" t="s">
        <v>29</v>
      </c>
    </row>
    <row r="266" spans="1:10" x14ac:dyDescent="0.45">
      <c r="A266" t="s">
        <v>321</v>
      </c>
      <c r="B266" t="s">
        <v>319</v>
      </c>
      <c r="C266" t="s">
        <v>35</v>
      </c>
      <c r="D266" t="s">
        <v>28</v>
      </c>
      <c r="E266">
        <v>22</v>
      </c>
      <c r="F266">
        <v>150</v>
      </c>
      <c r="G266">
        <v>3300</v>
      </c>
      <c r="H266">
        <v>0.05</v>
      </c>
      <c r="I266">
        <v>165</v>
      </c>
      <c r="J266" t="s">
        <v>33</v>
      </c>
    </row>
    <row r="267" spans="1:10" x14ac:dyDescent="0.45">
      <c r="A267" t="s">
        <v>322</v>
      </c>
      <c r="B267" t="s">
        <v>319</v>
      </c>
      <c r="C267" t="s">
        <v>31</v>
      </c>
      <c r="D267" t="s">
        <v>32</v>
      </c>
      <c r="E267">
        <v>15</v>
      </c>
      <c r="F267">
        <v>16</v>
      </c>
      <c r="G267">
        <v>240</v>
      </c>
      <c r="H267">
        <v>0.01</v>
      </c>
      <c r="I267">
        <v>2.4</v>
      </c>
      <c r="J267" t="s">
        <v>36</v>
      </c>
    </row>
    <row r="268" spans="1:10" x14ac:dyDescent="0.45">
      <c r="A268" t="s">
        <v>323</v>
      </c>
      <c r="B268" t="s">
        <v>319</v>
      </c>
      <c r="C268" t="s">
        <v>16</v>
      </c>
      <c r="D268" t="s">
        <v>28</v>
      </c>
      <c r="E268">
        <v>7</v>
      </c>
      <c r="F268">
        <v>40</v>
      </c>
      <c r="G268">
        <v>280</v>
      </c>
      <c r="H268">
        <v>7.0000000000000007E-2</v>
      </c>
      <c r="I268">
        <v>19.600000000000001</v>
      </c>
      <c r="J268" t="s">
        <v>38</v>
      </c>
    </row>
    <row r="269" spans="1:10" x14ac:dyDescent="0.45">
      <c r="A269" t="s">
        <v>324</v>
      </c>
      <c r="B269" t="s">
        <v>319</v>
      </c>
      <c r="C269" t="s">
        <v>12</v>
      </c>
      <c r="D269" t="s">
        <v>32</v>
      </c>
      <c r="E269">
        <v>22</v>
      </c>
      <c r="F269">
        <v>80</v>
      </c>
      <c r="G269">
        <v>1760</v>
      </c>
      <c r="H269">
        <v>0.11</v>
      </c>
      <c r="I269">
        <v>193.6</v>
      </c>
      <c r="J269" t="s">
        <v>40</v>
      </c>
    </row>
    <row r="270" spans="1:10" x14ac:dyDescent="0.45">
      <c r="A270" t="s">
        <v>325</v>
      </c>
      <c r="B270" t="s">
        <v>319</v>
      </c>
      <c r="C270" t="s">
        <v>35</v>
      </c>
      <c r="D270" t="s">
        <v>25</v>
      </c>
      <c r="E270">
        <v>11</v>
      </c>
      <c r="F270">
        <v>150</v>
      </c>
      <c r="G270">
        <v>1650</v>
      </c>
      <c r="H270">
        <v>0.05</v>
      </c>
      <c r="I270">
        <v>82.5</v>
      </c>
      <c r="J270" t="s">
        <v>42</v>
      </c>
    </row>
    <row r="271" spans="1:10" x14ac:dyDescent="0.45">
      <c r="A271" t="s">
        <v>326</v>
      </c>
      <c r="B271" t="s">
        <v>319</v>
      </c>
      <c r="C271" t="s">
        <v>16</v>
      </c>
      <c r="D271" t="s">
        <v>17</v>
      </c>
      <c r="E271">
        <v>21</v>
      </c>
      <c r="F271">
        <v>40</v>
      </c>
      <c r="G271">
        <v>840</v>
      </c>
      <c r="H271">
        <v>0.03</v>
      </c>
      <c r="I271">
        <v>25.2</v>
      </c>
      <c r="J271" t="s">
        <v>45</v>
      </c>
    </row>
    <row r="272" spans="1:10" x14ac:dyDescent="0.45">
      <c r="A272" t="s">
        <v>327</v>
      </c>
      <c r="B272" t="s">
        <v>319</v>
      </c>
      <c r="C272" t="s">
        <v>12</v>
      </c>
      <c r="D272" t="s">
        <v>28</v>
      </c>
      <c r="E272">
        <v>23</v>
      </c>
      <c r="F272">
        <v>80</v>
      </c>
      <c r="G272">
        <v>1840</v>
      </c>
      <c r="H272">
        <v>0.11</v>
      </c>
      <c r="I272">
        <v>202.4</v>
      </c>
      <c r="J272" t="s">
        <v>14</v>
      </c>
    </row>
    <row r="273" spans="1:10" x14ac:dyDescent="0.45">
      <c r="A273" t="s">
        <v>328</v>
      </c>
      <c r="B273" t="s">
        <v>319</v>
      </c>
      <c r="C273" t="s">
        <v>20</v>
      </c>
      <c r="D273" t="s">
        <v>25</v>
      </c>
      <c r="E273">
        <v>7</v>
      </c>
      <c r="F273">
        <v>230</v>
      </c>
      <c r="G273">
        <v>1610</v>
      </c>
      <c r="H273">
        <v>0.01</v>
      </c>
      <c r="I273">
        <v>16.100000000000001</v>
      </c>
      <c r="J273" t="s">
        <v>18</v>
      </c>
    </row>
    <row r="274" spans="1:10" x14ac:dyDescent="0.45">
      <c r="A274" t="s">
        <v>329</v>
      </c>
      <c r="B274" t="s">
        <v>319</v>
      </c>
      <c r="C274" t="s">
        <v>20</v>
      </c>
      <c r="D274" t="s">
        <v>13</v>
      </c>
      <c r="E274">
        <v>16</v>
      </c>
      <c r="F274">
        <v>230</v>
      </c>
      <c r="G274">
        <v>3680</v>
      </c>
      <c r="H274">
        <v>7.0000000000000007E-2</v>
      </c>
      <c r="I274">
        <v>257.60000000000002</v>
      </c>
      <c r="J274" t="s">
        <v>21</v>
      </c>
    </row>
    <row r="275" spans="1:10" x14ac:dyDescent="0.45">
      <c r="A275" t="s">
        <v>330</v>
      </c>
      <c r="B275" t="s">
        <v>319</v>
      </c>
      <c r="C275" t="s">
        <v>12</v>
      </c>
      <c r="D275" t="s">
        <v>17</v>
      </c>
      <c r="E275">
        <v>14</v>
      </c>
      <c r="F275">
        <v>80</v>
      </c>
      <c r="G275">
        <v>1120</v>
      </c>
      <c r="H275">
        <v>0.11</v>
      </c>
      <c r="I275">
        <v>123.2</v>
      </c>
      <c r="J275" t="s">
        <v>23</v>
      </c>
    </row>
    <row r="276" spans="1:10" x14ac:dyDescent="0.45">
      <c r="A276" t="s">
        <v>331</v>
      </c>
      <c r="B276" t="s">
        <v>319</v>
      </c>
      <c r="C276" t="s">
        <v>35</v>
      </c>
      <c r="D276" t="s">
        <v>25</v>
      </c>
      <c r="E276">
        <v>22</v>
      </c>
      <c r="F276">
        <v>150</v>
      </c>
      <c r="G276">
        <v>3300</v>
      </c>
      <c r="H276">
        <v>0.09</v>
      </c>
      <c r="I276">
        <v>297</v>
      </c>
      <c r="J276" t="s">
        <v>26</v>
      </c>
    </row>
    <row r="277" spans="1:10" x14ac:dyDescent="0.45">
      <c r="A277" t="s">
        <v>332</v>
      </c>
      <c r="B277" t="s">
        <v>319</v>
      </c>
      <c r="C277" t="s">
        <v>35</v>
      </c>
      <c r="D277" t="s">
        <v>28</v>
      </c>
      <c r="E277">
        <v>4</v>
      </c>
      <c r="F277">
        <v>150</v>
      </c>
      <c r="G277">
        <v>600</v>
      </c>
      <c r="H277">
        <v>0.12</v>
      </c>
      <c r="I277">
        <v>72</v>
      </c>
      <c r="J277" t="s">
        <v>29</v>
      </c>
    </row>
    <row r="278" spans="1:10" x14ac:dyDescent="0.45">
      <c r="A278" t="s">
        <v>333</v>
      </c>
      <c r="B278" t="s">
        <v>319</v>
      </c>
      <c r="C278" t="s">
        <v>35</v>
      </c>
      <c r="D278" t="s">
        <v>13</v>
      </c>
      <c r="E278">
        <v>3</v>
      </c>
      <c r="F278">
        <v>150</v>
      </c>
      <c r="G278">
        <v>450</v>
      </c>
      <c r="H278">
        <v>0.03</v>
      </c>
      <c r="I278">
        <v>13.5</v>
      </c>
      <c r="J278" t="s">
        <v>33</v>
      </c>
    </row>
    <row r="279" spans="1:10" x14ac:dyDescent="0.45">
      <c r="A279" t="s">
        <v>334</v>
      </c>
      <c r="B279" t="s">
        <v>319</v>
      </c>
      <c r="C279" t="s">
        <v>16</v>
      </c>
      <c r="D279" t="s">
        <v>32</v>
      </c>
      <c r="E279">
        <v>17</v>
      </c>
      <c r="F279">
        <v>40</v>
      </c>
      <c r="G279">
        <v>680</v>
      </c>
      <c r="H279">
        <v>0.02</v>
      </c>
      <c r="I279">
        <v>13.6</v>
      </c>
      <c r="J279" t="s">
        <v>36</v>
      </c>
    </row>
    <row r="280" spans="1:10" x14ac:dyDescent="0.45">
      <c r="A280" t="s">
        <v>335</v>
      </c>
      <c r="B280" t="s">
        <v>319</v>
      </c>
      <c r="C280" t="s">
        <v>12</v>
      </c>
      <c r="D280" t="s">
        <v>32</v>
      </c>
      <c r="E280">
        <v>22</v>
      </c>
      <c r="F280">
        <v>80</v>
      </c>
      <c r="G280">
        <v>1760</v>
      </c>
      <c r="H280">
        <v>0.1</v>
      </c>
      <c r="I280">
        <v>176</v>
      </c>
      <c r="J280" t="s">
        <v>38</v>
      </c>
    </row>
    <row r="281" spans="1:10" x14ac:dyDescent="0.45">
      <c r="A281" t="s">
        <v>336</v>
      </c>
      <c r="B281" t="s">
        <v>319</v>
      </c>
      <c r="C281" t="s">
        <v>35</v>
      </c>
      <c r="D281" t="s">
        <v>32</v>
      </c>
      <c r="E281">
        <v>18</v>
      </c>
      <c r="F281">
        <v>150</v>
      </c>
      <c r="G281">
        <v>2700</v>
      </c>
      <c r="H281">
        <v>0.12</v>
      </c>
      <c r="I281">
        <v>324</v>
      </c>
      <c r="J281" t="s">
        <v>40</v>
      </c>
    </row>
    <row r="282" spans="1:10" x14ac:dyDescent="0.45">
      <c r="A282" t="s">
        <v>337</v>
      </c>
      <c r="B282" t="s">
        <v>338</v>
      </c>
      <c r="C282" t="s">
        <v>35</v>
      </c>
      <c r="D282" t="s">
        <v>13</v>
      </c>
      <c r="E282">
        <v>4</v>
      </c>
      <c r="F282">
        <v>150</v>
      </c>
      <c r="G282">
        <v>600</v>
      </c>
      <c r="H282">
        <v>0.06</v>
      </c>
      <c r="I282">
        <v>36</v>
      </c>
      <c r="J282" t="s">
        <v>14</v>
      </c>
    </row>
    <row r="283" spans="1:10" x14ac:dyDescent="0.45">
      <c r="A283" t="s">
        <v>339</v>
      </c>
      <c r="B283" t="s">
        <v>338</v>
      </c>
      <c r="C283" t="s">
        <v>20</v>
      </c>
      <c r="D283" t="s">
        <v>17</v>
      </c>
      <c r="E283">
        <v>22</v>
      </c>
      <c r="F283">
        <v>230</v>
      </c>
      <c r="G283">
        <v>5060</v>
      </c>
      <c r="H283">
        <v>0.04</v>
      </c>
      <c r="I283">
        <v>202.4</v>
      </c>
      <c r="J283" t="s">
        <v>18</v>
      </c>
    </row>
    <row r="284" spans="1:10" x14ac:dyDescent="0.45">
      <c r="A284" t="s">
        <v>340</v>
      </c>
      <c r="B284" t="s">
        <v>338</v>
      </c>
      <c r="C284" t="s">
        <v>35</v>
      </c>
      <c r="D284" t="s">
        <v>17</v>
      </c>
      <c r="E284">
        <v>15</v>
      </c>
      <c r="F284">
        <v>150</v>
      </c>
      <c r="G284">
        <v>2250</v>
      </c>
      <c r="H284">
        <v>0.12</v>
      </c>
      <c r="I284">
        <v>270</v>
      </c>
      <c r="J284" t="s">
        <v>21</v>
      </c>
    </row>
    <row r="285" spans="1:10" x14ac:dyDescent="0.45">
      <c r="A285" t="s">
        <v>341</v>
      </c>
      <c r="B285" t="s">
        <v>338</v>
      </c>
      <c r="C285" t="s">
        <v>12</v>
      </c>
      <c r="D285" t="s">
        <v>13</v>
      </c>
      <c r="E285">
        <v>17</v>
      </c>
      <c r="F285">
        <v>80</v>
      </c>
      <c r="G285">
        <v>1360</v>
      </c>
      <c r="H285">
        <v>7.0000000000000007E-2</v>
      </c>
      <c r="I285">
        <v>95.2</v>
      </c>
      <c r="J285" t="s">
        <v>23</v>
      </c>
    </row>
    <row r="286" spans="1:10" x14ac:dyDescent="0.45">
      <c r="A286" t="s">
        <v>342</v>
      </c>
      <c r="B286" t="s">
        <v>338</v>
      </c>
      <c r="C286" t="s">
        <v>16</v>
      </c>
      <c r="D286" t="s">
        <v>32</v>
      </c>
      <c r="E286">
        <v>10</v>
      </c>
      <c r="F286">
        <v>40</v>
      </c>
      <c r="G286">
        <v>400</v>
      </c>
      <c r="H286">
        <v>0.03</v>
      </c>
      <c r="I286">
        <v>12</v>
      </c>
      <c r="J286" t="s">
        <v>26</v>
      </c>
    </row>
    <row r="287" spans="1:10" x14ac:dyDescent="0.45">
      <c r="A287" t="s">
        <v>343</v>
      </c>
      <c r="B287" t="s">
        <v>338</v>
      </c>
      <c r="C287" t="s">
        <v>16</v>
      </c>
      <c r="D287" t="s">
        <v>13</v>
      </c>
      <c r="E287">
        <v>23</v>
      </c>
      <c r="F287">
        <v>40</v>
      </c>
      <c r="G287">
        <v>920</v>
      </c>
      <c r="H287">
        <v>7.0000000000000007E-2</v>
      </c>
      <c r="I287">
        <v>64.400000000000006</v>
      </c>
      <c r="J287" t="s">
        <v>29</v>
      </c>
    </row>
    <row r="288" spans="1:10" x14ac:dyDescent="0.45">
      <c r="A288" t="s">
        <v>344</v>
      </c>
      <c r="B288" t="s">
        <v>338</v>
      </c>
      <c r="C288" t="s">
        <v>31</v>
      </c>
      <c r="D288" t="s">
        <v>17</v>
      </c>
      <c r="E288">
        <v>22</v>
      </c>
      <c r="F288">
        <v>16</v>
      </c>
      <c r="G288">
        <v>352</v>
      </c>
      <c r="H288">
        <v>0.04</v>
      </c>
      <c r="I288">
        <v>14.08</v>
      </c>
      <c r="J288" t="s">
        <v>33</v>
      </c>
    </row>
    <row r="289" spans="1:10" x14ac:dyDescent="0.45">
      <c r="A289" t="s">
        <v>345</v>
      </c>
      <c r="B289" t="s">
        <v>338</v>
      </c>
      <c r="C289" t="s">
        <v>12</v>
      </c>
      <c r="D289" t="s">
        <v>25</v>
      </c>
      <c r="E289">
        <v>8</v>
      </c>
      <c r="F289">
        <v>80</v>
      </c>
      <c r="G289">
        <v>640</v>
      </c>
      <c r="H289">
        <v>0.02</v>
      </c>
      <c r="I289">
        <v>12.8</v>
      </c>
      <c r="J289" t="s">
        <v>36</v>
      </c>
    </row>
    <row r="290" spans="1:10" x14ac:dyDescent="0.45">
      <c r="A290" t="s">
        <v>346</v>
      </c>
      <c r="B290" t="s">
        <v>338</v>
      </c>
      <c r="C290" t="s">
        <v>31</v>
      </c>
      <c r="D290" t="s">
        <v>17</v>
      </c>
      <c r="E290">
        <v>4</v>
      </c>
      <c r="F290">
        <v>16</v>
      </c>
      <c r="G290">
        <v>64</v>
      </c>
      <c r="H290">
        <v>0.09</v>
      </c>
      <c r="I290">
        <v>5.76</v>
      </c>
      <c r="J290" t="s">
        <v>38</v>
      </c>
    </row>
    <row r="291" spans="1:10" x14ac:dyDescent="0.45">
      <c r="A291" t="s">
        <v>347</v>
      </c>
      <c r="B291" t="s">
        <v>338</v>
      </c>
      <c r="C291" t="s">
        <v>16</v>
      </c>
      <c r="D291" t="s">
        <v>28</v>
      </c>
      <c r="E291">
        <v>11</v>
      </c>
      <c r="F291">
        <v>40</v>
      </c>
      <c r="G291">
        <v>440</v>
      </c>
      <c r="H291">
        <v>0.09</v>
      </c>
      <c r="I291">
        <v>39.6</v>
      </c>
      <c r="J291" t="s">
        <v>40</v>
      </c>
    </row>
    <row r="292" spans="1:10" x14ac:dyDescent="0.45">
      <c r="A292" t="s">
        <v>348</v>
      </c>
      <c r="B292" t="s">
        <v>338</v>
      </c>
      <c r="C292" t="s">
        <v>20</v>
      </c>
      <c r="D292" t="s">
        <v>25</v>
      </c>
      <c r="E292">
        <v>18</v>
      </c>
      <c r="F292">
        <v>230</v>
      </c>
      <c r="G292">
        <v>4140</v>
      </c>
      <c r="H292">
        <v>0.01</v>
      </c>
      <c r="I292">
        <v>41.4</v>
      </c>
      <c r="J292" t="s">
        <v>42</v>
      </c>
    </row>
    <row r="293" spans="1:10" x14ac:dyDescent="0.45">
      <c r="A293" t="s">
        <v>349</v>
      </c>
      <c r="B293" t="s">
        <v>350</v>
      </c>
      <c r="C293" t="s">
        <v>20</v>
      </c>
      <c r="D293" t="s">
        <v>17</v>
      </c>
      <c r="E293">
        <v>11</v>
      </c>
      <c r="F293">
        <v>230</v>
      </c>
      <c r="G293">
        <v>2530</v>
      </c>
      <c r="H293">
        <v>0.1</v>
      </c>
      <c r="I293">
        <v>253</v>
      </c>
      <c r="J293" t="s">
        <v>45</v>
      </c>
    </row>
    <row r="294" spans="1:10" x14ac:dyDescent="0.45">
      <c r="A294" t="s">
        <v>351</v>
      </c>
      <c r="B294" t="s">
        <v>350</v>
      </c>
      <c r="C294" t="s">
        <v>20</v>
      </c>
      <c r="D294" t="s">
        <v>13</v>
      </c>
      <c r="E294">
        <v>15</v>
      </c>
      <c r="F294">
        <v>230</v>
      </c>
      <c r="G294">
        <v>3450</v>
      </c>
      <c r="H294">
        <v>0.05</v>
      </c>
      <c r="I294">
        <v>172.5</v>
      </c>
      <c r="J294" t="s">
        <v>14</v>
      </c>
    </row>
    <row r="295" spans="1:10" x14ac:dyDescent="0.45">
      <c r="A295" t="s">
        <v>352</v>
      </c>
      <c r="B295" t="s">
        <v>350</v>
      </c>
      <c r="C295" t="s">
        <v>16</v>
      </c>
      <c r="D295" t="s">
        <v>32</v>
      </c>
      <c r="E295">
        <v>7</v>
      </c>
      <c r="F295">
        <v>40</v>
      </c>
      <c r="G295">
        <v>280</v>
      </c>
      <c r="H295">
        <v>0.04</v>
      </c>
      <c r="I295">
        <v>11.200000000000001</v>
      </c>
      <c r="J295" t="s">
        <v>18</v>
      </c>
    </row>
    <row r="296" spans="1:10" x14ac:dyDescent="0.45">
      <c r="A296" t="s">
        <v>353</v>
      </c>
      <c r="B296" t="s">
        <v>350</v>
      </c>
      <c r="C296" t="s">
        <v>35</v>
      </c>
      <c r="D296" t="s">
        <v>25</v>
      </c>
      <c r="E296">
        <v>20</v>
      </c>
      <c r="F296">
        <v>150</v>
      </c>
      <c r="G296">
        <v>3000</v>
      </c>
      <c r="H296">
        <v>0.12</v>
      </c>
      <c r="I296">
        <v>360</v>
      </c>
      <c r="J296" t="s">
        <v>21</v>
      </c>
    </row>
    <row r="297" spans="1:10" x14ac:dyDescent="0.45">
      <c r="A297" t="s">
        <v>354</v>
      </c>
      <c r="B297" t="s">
        <v>350</v>
      </c>
      <c r="C297" t="s">
        <v>12</v>
      </c>
      <c r="D297" t="s">
        <v>25</v>
      </c>
      <c r="E297">
        <v>5</v>
      </c>
      <c r="F297">
        <v>80</v>
      </c>
      <c r="G297">
        <v>400</v>
      </c>
      <c r="H297">
        <v>0.09</v>
      </c>
      <c r="I297">
        <v>36</v>
      </c>
      <c r="J297" t="s">
        <v>23</v>
      </c>
    </row>
    <row r="298" spans="1:10" x14ac:dyDescent="0.45">
      <c r="A298" t="s">
        <v>355</v>
      </c>
      <c r="B298" t="s">
        <v>350</v>
      </c>
      <c r="C298" t="s">
        <v>12</v>
      </c>
      <c r="D298" t="s">
        <v>28</v>
      </c>
      <c r="E298">
        <v>14</v>
      </c>
      <c r="F298">
        <v>80</v>
      </c>
      <c r="G298">
        <v>1120</v>
      </c>
      <c r="H298">
        <v>0.05</v>
      </c>
      <c r="I298">
        <v>56</v>
      </c>
      <c r="J298" t="s">
        <v>26</v>
      </c>
    </row>
    <row r="299" spans="1:10" x14ac:dyDescent="0.45">
      <c r="A299" t="s">
        <v>356</v>
      </c>
      <c r="B299" t="s">
        <v>350</v>
      </c>
      <c r="C299" t="s">
        <v>20</v>
      </c>
      <c r="D299" t="s">
        <v>28</v>
      </c>
      <c r="E299">
        <v>7</v>
      </c>
      <c r="F299">
        <v>230</v>
      </c>
      <c r="G299">
        <v>1610</v>
      </c>
      <c r="H299">
        <v>0.06</v>
      </c>
      <c r="I299">
        <v>96.6</v>
      </c>
      <c r="J299" t="s">
        <v>29</v>
      </c>
    </row>
    <row r="300" spans="1:10" x14ac:dyDescent="0.45">
      <c r="A300" t="s">
        <v>357</v>
      </c>
      <c r="B300" t="s">
        <v>350</v>
      </c>
      <c r="C300" t="s">
        <v>16</v>
      </c>
      <c r="D300" t="s">
        <v>28</v>
      </c>
      <c r="E300">
        <v>13</v>
      </c>
      <c r="F300">
        <v>40</v>
      </c>
      <c r="G300">
        <v>520</v>
      </c>
      <c r="H300">
        <v>0.06</v>
      </c>
      <c r="I300">
        <v>31.2</v>
      </c>
      <c r="J300" t="s">
        <v>33</v>
      </c>
    </row>
    <row r="301" spans="1:10" x14ac:dyDescent="0.45">
      <c r="A301" t="s">
        <v>358</v>
      </c>
      <c r="B301" t="s">
        <v>359</v>
      </c>
      <c r="C301" t="s">
        <v>31</v>
      </c>
      <c r="D301" t="s">
        <v>17</v>
      </c>
      <c r="E301">
        <v>15</v>
      </c>
      <c r="F301">
        <v>16</v>
      </c>
      <c r="G301">
        <v>240</v>
      </c>
      <c r="H301">
        <v>0.02</v>
      </c>
      <c r="I301">
        <v>4.8</v>
      </c>
      <c r="J301" t="s">
        <v>36</v>
      </c>
    </row>
    <row r="302" spans="1:10" x14ac:dyDescent="0.45">
      <c r="A302" t="s">
        <v>360</v>
      </c>
      <c r="B302" t="s">
        <v>359</v>
      </c>
      <c r="C302" t="s">
        <v>31</v>
      </c>
      <c r="D302" t="s">
        <v>28</v>
      </c>
      <c r="E302">
        <v>5</v>
      </c>
      <c r="F302">
        <v>16</v>
      </c>
      <c r="G302">
        <v>80</v>
      </c>
      <c r="H302">
        <v>0.09</v>
      </c>
      <c r="I302">
        <v>7.1999999999999993</v>
      </c>
      <c r="J302" t="s">
        <v>38</v>
      </c>
    </row>
    <row r="303" spans="1:10" x14ac:dyDescent="0.45">
      <c r="A303" t="s">
        <v>361</v>
      </c>
      <c r="B303" t="s">
        <v>359</v>
      </c>
      <c r="C303" t="s">
        <v>31</v>
      </c>
      <c r="D303" t="s">
        <v>13</v>
      </c>
      <c r="E303">
        <v>22</v>
      </c>
      <c r="F303">
        <v>16</v>
      </c>
      <c r="G303">
        <v>352</v>
      </c>
      <c r="H303">
        <v>0.06</v>
      </c>
      <c r="I303">
        <v>21.119999999999997</v>
      </c>
      <c r="J303" t="s">
        <v>40</v>
      </c>
    </row>
    <row r="304" spans="1:10" x14ac:dyDescent="0.45">
      <c r="A304" t="s">
        <v>362</v>
      </c>
      <c r="B304" t="s">
        <v>359</v>
      </c>
      <c r="C304" t="s">
        <v>35</v>
      </c>
      <c r="D304" t="s">
        <v>25</v>
      </c>
      <c r="E304">
        <v>15</v>
      </c>
      <c r="F304">
        <v>150</v>
      </c>
      <c r="G304">
        <v>2250</v>
      </c>
      <c r="H304">
        <v>0.05</v>
      </c>
      <c r="I304">
        <v>112.5</v>
      </c>
      <c r="J304" t="s">
        <v>42</v>
      </c>
    </row>
    <row r="305" spans="1:10" x14ac:dyDescent="0.45">
      <c r="A305" t="s">
        <v>363</v>
      </c>
      <c r="B305" t="s">
        <v>359</v>
      </c>
      <c r="C305" t="s">
        <v>20</v>
      </c>
      <c r="D305" t="s">
        <v>25</v>
      </c>
      <c r="E305">
        <v>5</v>
      </c>
      <c r="F305">
        <v>230</v>
      </c>
      <c r="G305">
        <v>1150</v>
      </c>
      <c r="H305">
        <v>0.01</v>
      </c>
      <c r="I305">
        <v>11.5</v>
      </c>
      <c r="J305" t="s">
        <v>45</v>
      </c>
    </row>
    <row r="306" spans="1:10" x14ac:dyDescent="0.45">
      <c r="A306" t="s">
        <v>364</v>
      </c>
      <c r="B306" t="s">
        <v>359</v>
      </c>
      <c r="C306" t="s">
        <v>16</v>
      </c>
      <c r="D306" t="s">
        <v>13</v>
      </c>
      <c r="E306">
        <v>11</v>
      </c>
      <c r="F306">
        <v>40</v>
      </c>
      <c r="G306">
        <v>440</v>
      </c>
      <c r="H306">
        <v>0.04</v>
      </c>
      <c r="I306">
        <v>17.600000000000001</v>
      </c>
      <c r="J306" t="s">
        <v>14</v>
      </c>
    </row>
    <row r="307" spans="1:10" x14ac:dyDescent="0.45">
      <c r="A307" t="s">
        <v>365</v>
      </c>
      <c r="B307" t="s">
        <v>359</v>
      </c>
      <c r="C307" t="s">
        <v>35</v>
      </c>
      <c r="D307" t="s">
        <v>17</v>
      </c>
      <c r="E307">
        <v>13</v>
      </c>
      <c r="F307">
        <v>150</v>
      </c>
      <c r="G307">
        <v>1950</v>
      </c>
      <c r="H307">
        <v>0.08</v>
      </c>
      <c r="I307">
        <v>156</v>
      </c>
      <c r="J307" t="s">
        <v>18</v>
      </c>
    </row>
    <row r="308" spans="1:10" x14ac:dyDescent="0.45">
      <c r="A308" t="s">
        <v>366</v>
      </c>
      <c r="B308" t="s">
        <v>359</v>
      </c>
      <c r="C308" t="s">
        <v>31</v>
      </c>
      <c r="D308" t="s">
        <v>32</v>
      </c>
      <c r="E308">
        <v>13</v>
      </c>
      <c r="F308">
        <v>16</v>
      </c>
      <c r="G308">
        <v>208</v>
      </c>
      <c r="H308">
        <v>7.0000000000000007E-2</v>
      </c>
      <c r="I308">
        <v>14.560000000000002</v>
      </c>
      <c r="J308" t="s">
        <v>21</v>
      </c>
    </row>
    <row r="309" spans="1:10" x14ac:dyDescent="0.45">
      <c r="A309" t="s">
        <v>367</v>
      </c>
      <c r="B309" t="s">
        <v>359</v>
      </c>
      <c r="C309" t="s">
        <v>31</v>
      </c>
      <c r="D309" t="s">
        <v>32</v>
      </c>
      <c r="E309">
        <v>3</v>
      </c>
      <c r="F309">
        <v>16</v>
      </c>
      <c r="G309">
        <v>48</v>
      </c>
      <c r="H309">
        <v>0.03</v>
      </c>
      <c r="I309">
        <v>1.44</v>
      </c>
      <c r="J309" t="s">
        <v>23</v>
      </c>
    </row>
    <row r="310" spans="1:10" x14ac:dyDescent="0.45">
      <c r="A310" t="s">
        <v>368</v>
      </c>
      <c r="B310" t="s">
        <v>369</v>
      </c>
      <c r="C310" t="s">
        <v>35</v>
      </c>
      <c r="D310" t="s">
        <v>17</v>
      </c>
      <c r="E310">
        <v>2</v>
      </c>
      <c r="F310">
        <v>150</v>
      </c>
      <c r="G310">
        <v>300</v>
      </c>
      <c r="H310">
        <v>0.09</v>
      </c>
      <c r="I310">
        <v>27</v>
      </c>
      <c r="J310" t="s">
        <v>26</v>
      </c>
    </row>
    <row r="311" spans="1:10" x14ac:dyDescent="0.45">
      <c r="A311" t="s">
        <v>370</v>
      </c>
      <c r="B311" t="s">
        <v>369</v>
      </c>
      <c r="C311" t="s">
        <v>20</v>
      </c>
      <c r="D311" t="s">
        <v>25</v>
      </c>
      <c r="E311">
        <v>14</v>
      </c>
      <c r="F311">
        <v>230</v>
      </c>
      <c r="G311">
        <v>3220</v>
      </c>
      <c r="H311">
        <v>0.03</v>
      </c>
      <c r="I311">
        <v>96.6</v>
      </c>
      <c r="J311" t="s">
        <v>29</v>
      </c>
    </row>
    <row r="312" spans="1:10" x14ac:dyDescent="0.45">
      <c r="A312" t="s">
        <v>371</v>
      </c>
      <c r="B312" t="s">
        <v>369</v>
      </c>
      <c r="C312" t="s">
        <v>16</v>
      </c>
      <c r="D312" t="s">
        <v>25</v>
      </c>
      <c r="E312">
        <v>11</v>
      </c>
      <c r="F312">
        <v>40</v>
      </c>
      <c r="G312">
        <v>440</v>
      </c>
      <c r="H312">
        <v>0.12</v>
      </c>
      <c r="I312">
        <v>52.8</v>
      </c>
      <c r="J312" t="s">
        <v>33</v>
      </c>
    </row>
    <row r="313" spans="1:10" x14ac:dyDescent="0.45">
      <c r="A313" t="s">
        <v>372</v>
      </c>
      <c r="B313" t="s">
        <v>369</v>
      </c>
      <c r="C313" t="s">
        <v>31</v>
      </c>
      <c r="D313" t="s">
        <v>32</v>
      </c>
      <c r="E313">
        <v>3</v>
      </c>
      <c r="F313">
        <v>16</v>
      </c>
      <c r="G313">
        <v>48</v>
      </c>
      <c r="H313">
        <v>0.06</v>
      </c>
      <c r="I313">
        <v>2.88</v>
      </c>
      <c r="J313" t="s">
        <v>36</v>
      </c>
    </row>
    <row r="314" spans="1:10" x14ac:dyDescent="0.45">
      <c r="A314" t="s">
        <v>373</v>
      </c>
      <c r="B314" t="s">
        <v>369</v>
      </c>
      <c r="C314" t="s">
        <v>16</v>
      </c>
      <c r="D314" t="s">
        <v>32</v>
      </c>
      <c r="E314">
        <v>18</v>
      </c>
      <c r="F314">
        <v>40</v>
      </c>
      <c r="G314">
        <v>720</v>
      </c>
      <c r="H314">
        <v>0.06</v>
      </c>
      <c r="I314">
        <v>43.199999999999996</v>
      </c>
      <c r="J314" t="s">
        <v>38</v>
      </c>
    </row>
    <row r="315" spans="1:10" x14ac:dyDescent="0.45">
      <c r="A315" t="s">
        <v>374</v>
      </c>
      <c r="B315" t="s">
        <v>369</v>
      </c>
      <c r="C315" t="s">
        <v>20</v>
      </c>
      <c r="D315" t="s">
        <v>32</v>
      </c>
      <c r="E315">
        <v>7</v>
      </c>
      <c r="F315">
        <v>230</v>
      </c>
      <c r="G315">
        <v>1610</v>
      </c>
      <c r="H315">
        <v>0.05</v>
      </c>
      <c r="I315">
        <v>80.5</v>
      </c>
      <c r="J315" t="s">
        <v>40</v>
      </c>
    </row>
    <row r="316" spans="1:10" x14ac:dyDescent="0.45">
      <c r="A316" t="s">
        <v>375</v>
      </c>
      <c r="B316" t="s">
        <v>369</v>
      </c>
      <c r="C316" t="s">
        <v>16</v>
      </c>
      <c r="D316" t="s">
        <v>32</v>
      </c>
      <c r="E316">
        <v>23</v>
      </c>
      <c r="F316">
        <v>40</v>
      </c>
      <c r="G316">
        <v>920</v>
      </c>
      <c r="H316">
        <v>0.05</v>
      </c>
      <c r="I316">
        <v>46</v>
      </c>
      <c r="J316" t="s">
        <v>42</v>
      </c>
    </row>
    <row r="317" spans="1:10" x14ac:dyDescent="0.45">
      <c r="A317" t="s">
        <v>376</v>
      </c>
      <c r="B317" t="s">
        <v>377</v>
      </c>
      <c r="C317" t="s">
        <v>20</v>
      </c>
      <c r="D317" t="s">
        <v>32</v>
      </c>
      <c r="E317">
        <v>2</v>
      </c>
      <c r="F317">
        <v>230</v>
      </c>
      <c r="G317">
        <v>460</v>
      </c>
      <c r="H317">
        <v>0.08</v>
      </c>
      <c r="I317">
        <v>36.800000000000004</v>
      </c>
      <c r="J317" t="s">
        <v>45</v>
      </c>
    </row>
    <row r="318" spans="1:10" x14ac:dyDescent="0.45">
      <c r="A318" t="s">
        <v>378</v>
      </c>
      <c r="B318" t="s">
        <v>377</v>
      </c>
      <c r="C318" t="s">
        <v>16</v>
      </c>
      <c r="D318" t="s">
        <v>28</v>
      </c>
      <c r="E318">
        <v>18</v>
      </c>
      <c r="F318">
        <v>40</v>
      </c>
      <c r="G318">
        <v>720</v>
      </c>
      <c r="H318">
        <v>0.04</v>
      </c>
      <c r="I318">
        <v>28.8</v>
      </c>
      <c r="J318" t="s">
        <v>14</v>
      </c>
    </row>
    <row r="319" spans="1:10" x14ac:dyDescent="0.45">
      <c r="A319" t="s">
        <v>379</v>
      </c>
      <c r="B319" t="s">
        <v>377</v>
      </c>
      <c r="C319" t="s">
        <v>20</v>
      </c>
      <c r="D319" t="s">
        <v>17</v>
      </c>
      <c r="E319">
        <v>7</v>
      </c>
      <c r="F319">
        <v>230</v>
      </c>
      <c r="G319">
        <v>1610</v>
      </c>
      <c r="H319">
        <v>0.05</v>
      </c>
      <c r="I319">
        <v>80.5</v>
      </c>
      <c r="J319" t="s">
        <v>18</v>
      </c>
    </row>
    <row r="320" spans="1:10" x14ac:dyDescent="0.45">
      <c r="A320" t="s">
        <v>380</v>
      </c>
      <c r="B320" t="s">
        <v>377</v>
      </c>
      <c r="C320" t="s">
        <v>16</v>
      </c>
      <c r="D320" t="s">
        <v>32</v>
      </c>
      <c r="E320">
        <v>14</v>
      </c>
      <c r="F320">
        <v>40</v>
      </c>
      <c r="G320">
        <v>560</v>
      </c>
      <c r="H320">
        <v>0.11</v>
      </c>
      <c r="I320">
        <v>61.6</v>
      </c>
      <c r="J320" t="s">
        <v>21</v>
      </c>
    </row>
    <row r="321" spans="1:10" x14ac:dyDescent="0.45">
      <c r="A321" t="s">
        <v>381</v>
      </c>
      <c r="B321" t="s">
        <v>377</v>
      </c>
      <c r="C321" t="s">
        <v>35</v>
      </c>
      <c r="D321" t="s">
        <v>17</v>
      </c>
      <c r="E321">
        <v>13</v>
      </c>
      <c r="F321">
        <v>150</v>
      </c>
      <c r="G321">
        <v>1950</v>
      </c>
      <c r="H321">
        <v>0.02</v>
      </c>
      <c r="I321">
        <v>39</v>
      </c>
      <c r="J321" t="s">
        <v>23</v>
      </c>
    </row>
    <row r="322" spans="1:10" x14ac:dyDescent="0.45">
      <c r="A322" t="s">
        <v>382</v>
      </c>
      <c r="B322" t="s">
        <v>377</v>
      </c>
      <c r="C322" t="s">
        <v>12</v>
      </c>
      <c r="D322" t="s">
        <v>13</v>
      </c>
      <c r="E322">
        <v>12</v>
      </c>
      <c r="F322">
        <v>80</v>
      </c>
      <c r="G322">
        <v>960</v>
      </c>
      <c r="H322">
        <v>0.04</v>
      </c>
      <c r="I322">
        <v>38.4</v>
      </c>
      <c r="J322" t="s">
        <v>26</v>
      </c>
    </row>
    <row r="323" spans="1:10" x14ac:dyDescent="0.45">
      <c r="A323" t="s">
        <v>383</v>
      </c>
      <c r="B323" t="s">
        <v>377</v>
      </c>
      <c r="C323" t="s">
        <v>20</v>
      </c>
      <c r="D323" t="s">
        <v>32</v>
      </c>
      <c r="E323">
        <v>20</v>
      </c>
      <c r="F323">
        <v>230</v>
      </c>
      <c r="G323">
        <v>4600</v>
      </c>
      <c r="H323">
        <v>0.09</v>
      </c>
      <c r="I323">
        <v>414</v>
      </c>
      <c r="J323" t="s">
        <v>29</v>
      </c>
    </row>
    <row r="324" spans="1:10" x14ac:dyDescent="0.45">
      <c r="A324" t="s">
        <v>384</v>
      </c>
      <c r="B324" t="s">
        <v>377</v>
      </c>
      <c r="C324" t="s">
        <v>16</v>
      </c>
      <c r="D324" t="s">
        <v>32</v>
      </c>
      <c r="E324">
        <v>5</v>
      </c>
      <c r="F324">
        <v>40</v>
      </c>
      <c r="G324">
        <v>200</v>
      </c>
      <c r="H324">
        <v>0.03</v>
      </c>
      <c r="I324">
        <v>6</v>
      </c>
      <c r="J324" t="s">
        <v>33</v>
      </c>
    </row>
    <row r="325" spans="1:10" x14ac:dyDescent="0.45">
      <c r="A325" t="s">
        <v>385</v>
      </c>
      <c r="B325" t="s">
        <v>377</v>
      </c>
      <c r="C325" t="s">
        <v>31</v>
      </c>
      <c r="D325" t="s">
        <v>32</v>
      </c>
      <c r="E325">
        <v>2</v>
      </c>
      <c r="F325">
        <v>16</v>
      </c>
      <c r="G325">
        <v>32</v>
      </c>
      <c r="H325">
        <v>0.04</v>
      </c>
      <c r="I325">
        <v>1.28</v>
      </c>
      <c r="J325" t="s">
        <v>36</v>
      </c>
    </row>
    <row r="326" spans="1:10" x14ac:dyDescent="0.45">
      <c r="A326" t="s">
        <v>386</v>
      </c>
      <c r="B326" t="s">
        <v>11</v>
      </c>
      <c r="C326" t="s">
        <v>12</v>
      </c>
      <c r="D326" t="s">
        <v>25</v>
      </c>
      <c r="E326">
        <v>10</v>
      </c>
      <c r="F326">
        <v>80</v>
      </c>
      <c r="G326">
        <v>800</v>
      </c>
      <c r="H326">
        <v>0.08</v>
      </c>
      <c r="I326">
        <v>64</v>
      </c>
      <c r="J326" t="s">
        <v>38</v>
      </c>
    </row>
    <row r="327" spans="1:10" x14ac:dyDescent="0.45">
      <c r="A327" t="s">
        <v>387</v>
      </c>
      <c r="B327" t="s">
        <v>11</v>
      </c>
      <c r="C327" t="s">
        <v>16</v>
      </c>
      <c r="D327" t="s">
        <v>28</v>
      </c>
      <c r="E327">
        <v>18</v>
      </c>
      <c r="F327">
        <v>40</v>
      </c>
      <c r="G327">
        <v>720</v>
      </c>
      <c r="H327">
        <v>0.06</v>
      </c>
      <c r="I327">
        <v>43.199999999999996</v>
      </c>
      <c r="J327" t="s">
        <v>40</v>
      </c>
    </row>
    <row r="328" spans="1:10" x14ac:dyDescent="0.45">
      <c r="A328" t="s">
        <v>388</v>
      </c>
      <c r="B328" t="s">
        <v>11</v>
      </c>
      <c r="C328" t="s">
        <v>20</v>
      </c>
      <c r="D328" t="s">
        <v>17</v>
      </c>
      <c r="E328">
        <v>7</v>
      </c>
      <c r="F328">
        <v>230</v>
      </c>
      <c r="G328">
        <v>1610</v>
      </c>
      <c r="H328">
        <v>0.08</v>
      </c>
      <c r="I328">
        <v>128.80000000000001</v>
      </c>
      <c r="J328" t="s">
        <v>42</v>
      </c>
    </row>
    <row r="329" spans="1:10" x14ac:dyDescent="0.45">
      <c r="A329" t="s">
        <v>389</v>
      </c>
      <c r="B329" t="s">
        <v>11</v>
      </c>
      <c r="C329" t="s">
        <v>16</v>
      </c>
      <c r="D329" t="s">
        <v>28</v>
      </c>
      <c r="E329">
        <v>15</v>
      </c>
      <c r="F329">
        <v>40</v>
      </c>
      <c r="G329">
        <v>600</v>
      </c>
      <c r="H329">
        <v>0.03</v>
      </c>
      <c r="I329">
        <v>18</v>
      </c>
      <c r="J329" t="s">
        <v>45</v>
      </c>
    </row>
    <row r="330" spans="1:10" x14ac:dyDescent="0.45">
      <c r="A330" t="s">
        <v>390</v>
      </c>
      <c r="B330" t="s">
        <v>11</v>
      </c>
      <c r="C330" t="s">
        <v>31</v>
      </c>
      <c r="D330" t="s">
        <v>25</v>
      </c>
      <c r="E330">
        <v>6</v>
      </c>
      <c r="F330">
        <v>16</v>
      </c>
      <c r="G330">
        <v>96</v>
      </c>
      <c r="H330">
        <v>0.01</v>
      </c>
      <c r="I330">
        <v>0.96</v>
      </c>
      <c r="J330" t="s">
        <v>14</v>
      </c>
    </row>
    <row r="331" spans="1:10" x14ac:dyDescent="0.45">
      <c r="A331" t="s">
        <v>391</v>
      </c>
      <c r="B331" t="s">
        <v>11</v>
      </c>
      <c r="C331" t="s">
        <v>35</v>
      </c>
      <c r="D331" t="s">
        <v>28</v>
      </c>
      <c r="E331">
        <v>9</v>
      </c>
      <c r="F331">
        <v>150</v>
      </c>
      <c r="G331">
        <v>1350</v>
      </c>
      <c r="H331">
        <v>0.02</v>
      </c>
      <c r="I331">
        <v>27</v>
      </c>
      <c r="J331" t="s">
        <v>18</v>
      </c>
    </row>
    <row r="332" spans="1:10" x14ac:dyDescent="0.45">
      <c r="A332" t="s">
        <v>392</v>
      </c>
      <c r="B332" t="s">
        <v>11</v>
      </c>
      <c r="C332" t="s">
        <v>31</v>
      </c>
      <c r="D332" t="s">
        <v>32</v>
      </c>
      <c r="E332">
        <v>15</v>
      </c>
      <c r="F332">
        <v>16</v>
      </c>
      <c r="G332">
        <v>240</v>
      </c>
      <c r="H332">
        <v>0.01</v>
      </c>
      <c r="I332">
        <v>2.4</v>
      </c>
      <c r="J332" t="s">
        <v>21</v>
      </c>
    </row>
    <row r="333" spans="1:10" x14ac:dyDescent="0.45">
      <c r="A333" t="s">
        <v>393</v>
      </c>
      <c r="B333" t="s">
        <v>11</v>
      </c>
      <c r="C333" t="s">
        <v>12</v>
      </c>
      <c r="D333" t="s">
        <v>32</v>
      </c>
      <c r="E333">
        <v>22</v>
      </c>
      <c r="F333">
        <v>80</v>
      </c>
      <c r="G333">
        <v>1760</v>
      </c>
      <c r="H333">
        <v>0.11</v>
      </c>
      <c r="I333">
        <v>193.6</v>
      </c>
      <c r="J333" t="s">
        <v>23</v>
      </c>
    </row>
    <row r="334" spans="1:10" x14ac:dyDescent="0.45">
      <c r="A334" t="s">
        <v>394</v>
      </c>
      <c r="B334" t="s">
        <v>11</v>
      </c>
      <c r="C334" t="s">
        <v>35</v>
      </c>
      <c r="D334" t="s">
        <v>17</v>
      </c>
      <c r="E334">
        <v>13</v>
      </c>
      <c r="F334">
        <v>150</v>
      </c>
      <c r="G334">
        <v>1950</v>
      </c>
      <c r="H334">
        <v>0.02</v>
      </c>
      <c r="I334">
        <v>39</v>
      </c>
      <c r="J334" t="s">
        <v>26</v>
      </c>
    </row>
    <row r="335" spans="1:10" x14ac:dyDescent="0.45">
      <c r="A335" t="s">
        <v>395</v>
      </c>
      <c r="B335" t="s">
        <v>44</v>
      </c>
      <c r="C335" t="s">
        <v>31</v>
      </c>
      <c r="D335" t="s">
        <v>25</v>
      </c>
      <c r="E335">
        <v>12</v>
      </c>
      <c r="F335">
        <v>16</v>
      </c>
      <c r="G335">
        <v>192</v>
      </c>
      <c r="H335">
        <v>0.03</v>
      </c>
      <c r="I335">
        <v>5.76</v>
      </c>
      <c r="J335" t="s">
        <v>29</v>
      </c>
    </row>
    <row r="336" spans="1:10" x14ac:dyDescent="0.45">
      <c r="A336" t="s">
        <v>396</v>
      </c>
      <c r="B336" t="s">
        <v>44</v>
      </c>
      <c r="C336" t="s">
        <v>16</v>
      </c>
      <c r="D336" t="s">
        <v>28</v>
      </c>
      <c r="E336">
        <v>4</v>
      </c>
      <c r="F336">
        <v>40</v>
      </c>
      <c r="G336">
        <v>160</v>
      </c>
      <c r="H336">
        <v>0.05</v>
      </c>
      <c r="I336">
        <v>8</v>
      </c>
      <c r="J336" t="s">
        <v>33</v>
      </c>
    </row>
    <row r="337" spans="1:10" x14ac:dyDescent="0.45">
      <c r="A337" t="s">
        <v>397</v>
      </c>
      <c r="B337" t="s">
        <v>44</v>
      </c>
      <c r="C337" t="s">
        <v>20</v>
      </c>
      <c r="D337" t="s">
        <v>17</v>
      </c>
      <c r="E337">
        <v>19</v>
      </c>
      <c r="F337">
        <v>230</v>
      </c>
      <c r="G337">
        <v>4370</v>
      </c>
      <c r="H337">
        <v>0.11</v>
      </c>
      <c r="I337">
        <v>480.7</v>
      </c>
      <c r="J337" t="s">
        <v>36</v>
      </c>
    </row>
    <row r="338" spans="1:10" x14ac:dyDescent="0.45">
      <c r="A338" t="s">
        <v>398</v>
      </c>
      <c r="B338" t="s">
        <v>44</v>
      </c>
      <c r="C338" t="s">
        <v>16</v>
      </c>
      <c r="D338" t="s">
        <v>17</v>
      </c>
      <c r="E338">
        <v>4</v>
      </c>
      <c r="F338">
        <v>40</v>
      </c>
      <c r="G338">
        <v>160</v>
      </c>
      <c r="H338">
        <v>0.06</v>
      </c>
      <c r="I338">
        <v>9.6</v>
      </c>
      <c r="J338" t="s">
        <v>38</v>
      </c>
    </row>
    <row r="339" spans="1:10" x14ac:dyDescent="0.45">
      <c r="A339" t="s">
        <v>399</v>
      </c>
      <c r="B339" t="s">
        <v>44</v>
      </c>
      <c r="C339" t="s">
        <v>31</v>
      </c>
      <c r="D339" t="s">
        <v>25</v>
      </c>
      <c r="E339">
        <v>6</v>
      </c>
      <c r="F339">
        <v>16</v>
      </c>
      <c r="G339">
        <v>96</v>
      </c>
      <c r="H339">
        <v>7.0000000000000007E-2</v>
      </c>
      <c r="I339">
        <v>6.7200000000000006</v>
      </c>
      <c r="J339" t="s">
        <v>40</v>
      </c>
    </row>
    <row r="340" spans="1:10" x14ac:dyDescent="0.45">
      <c r="A340" t="s">
        <v>400</v>
      </c>
      <c r="B340" t="s">
        <v>44</v>
      </c>
      <c r="C340" t="s">
        <v>20</v>
      </c>
      <c r="D340" t="s">
        <v>25</v>
      </c>
      <c r="E340">
        <v>15</v>
      </c>
      <c r="F340">
        <v>230</v>
      </c>
      <c r="G340">
        <v>3450</v>
      </c>
      <c r="H340">
        <v>0.11</v>
      </c>
      <c r="I340">
        <v>379.5</v>
      </c>
      <c r="J340" t="s">
        <v>42</v>
      </c>
    </row>
    <row r="341" spans="1:10" x14ac:dyDescent="0.45">
      <c r="A341" t="s">
        <v>401</v>
      </c>
      <c r="B341" t="s">
        <v>44</v>
      </c>
      <c r="C341" t="s">
        <v>12</v>
      </c>
      <c r="D341" t="s">
        <v>25</v>
      </c>
      <c r="E341">
        <v>16</v>
      </c>
      <c r="F341">
        <v>80</v>
      </c>
      <c r="G341">
        <v>1280</v>
      </c>
      <c r="H341">
        <v>0.04</v>
      </c>
      <c r="I341">
        <v>51.2</v>
      </c>
      <c r="J341" t="s">
        <v>45</v>
      </c>
    </row>
    <row r="342" spans="1:10" x14ac:dyDescent="0.45">
      <c r="A342" t="s">
        <v>402</v>
      </c>
      <c r="B342" t="s">
        <v>44</v>
      </c>
      <c r="C342" t="s">
        <v>16</v>
      </c>
      <c r="D342" t="s">
        <v>13</v>
      </c>
      <c r="E342">
        <v>7</v>
      </c>
      <c r="F342">
        <v>40</v>
      </c>
      <c r="G342">
        <v>280</v>
      </c>
      <c r="H342">
        <v>0.1</v>
      </c>
      <c r="I342">
        <v>28</v>
      </c>
      <c r="J342" t="s">
        <v>14</v>
      </c>
    </row>
    <row r="343" spans="1:10" x14ac:dyDescent="0.45">
      <c r="A343" t="s">
        <v>403</v>
      </c>
      <c r="B343" t="s">
        <v>44</v>
      </c>
      <c r="C343" t="s">
        <v>16</v>
      </c>
      <c r="D343" t="s">
        <v>25</v>
      </c>
      <c r="E343">
        <v>11</v>
      </c>
      <c r="F343">
        <v>40</v>
      </c>
      <c r="G343">
        <v>440</v>
      </c>
      <c r="H343">
        <v>0.05</v>
      </c>
      <c r="I343">
        <v>22</v>
      </c>
      <c r="J343" t="s">
        <v>18</v>
      </c>
    </row>
    <row r="344" spans="1:10" x14ac:dyDescent="0.45">
      <c r="A344" t="s">
        <v>404</v>
      </c>
      <c r="B344" t="s">
        <v>44</v>
      </c>
      <c r="C344" t="s">
        <v>12</v>
      </c>
      <c r="D344" t="s">
        <v>32</v>
      </c>
      <c r="E344">
        <v>9</v>
      </c>
      <c r="F344">
        <v>80</v>
      </c>
      <c r="G344">
        <v>720</v>
      </c>
      <c r="H344">
        <v>0.06</v>
      </c>
      <c r="I344">
        <v>43.199999999999996</v>
      </c>
      <c r="J344" t="s">
        <v>21</v>
      </c>
    </row>
    <row r="345" spans="1:10" x14ac:dyDescent="0.45">
      <c r="A345" t="s">
        <v>405</v>
      </c>
      <c r="B345" t="s">
        <v>44</v>
      </c>
      <c r="C345" t="s">
        <v>12</v>
      </c>
      <c r="D345" t="s">
        <v>17</v>
      </c>
      <c r="E345">
        <v>21</v>
      </c>
      <c r="F345">
        <v>80</v>
      </c>
      <c r="G345">
        <v>1680</v>
      </c>
      <c r="H345">
        <v>0.04</v>
      </c>
      <c r="I345">
        <v>67.2</v>
      </c>
      <c r="J345" t="s">
        <v>23</v>
      </c>
    </row>
    <row r="346" spans="1:10" x14ac:dyDescent="0.45">
      <c r="A346" t="s">
        <v>406</v>
      </c>
      <c r="B346" t="s">
        <v>44</v>
      </c>
      <c r="C346" t="s">
        <v>16</v>
      </c>
      <c r="D346" t="s">
        <v>25</v>
      </c>
      <c r="E346">
        <v>2</v>
      </c>
      <c r="F346">
        <v>40</v>
      </c>
      <c r="G346">
        <v>80</v>
      </c>
      <c r="H346">
        <v>0.03</v>
      </c>
      <c r="I346">
        <v>2.4</v>
      </c>
      <c r="J346" t="s">
        <v>26</v>
      </c>
    </row>
    <row r="347" spans="1:10" x14ac:dyDescent="0.45">
      <c r="A347" t="s">
        <v>407</v>
      </c>
      <c r="B347" t="s">
        <v>53</v>
      </c>
      <c r="C347" t="s">
        <v>31</v>
      </c>
      <c r="D347" t="s">
        <v>25</v>
      </c>
      <c r="E347">
        <v>17</v>
      </c>
      <c r="F347">
        <v>16</v>
      </c>
      <c r="G347">
        <v>272</v>
      </c>
      <c r="H347">
        <v>0.05</v>
      </c>
      <c r="I347">
        <v>13.600000000000001</v>
      </c>
      <c r="J347" t="s">
        <v>29</v>
      </c>
    </row>
    <row r="348" spans="1:10" x14ac:dyDescent="0.45">
      <c r="A348" t="s">
        <v>408</v>
      </c>
      <c r="B348" t="s">
        <v>53</v>
      </c>
      <c r="C348" t="s">
        <v>16</v>
      </c>
      <c r="D348" t="s">
        <v>13</v>
      </c>
      <c r="E348">
        <v>18</v>
      </c>
      <c r="F348">
        <v>40</v>
      </c>
      <c r="G348">
        <v>720</v>
      </c>
      <c r="H348">
        <v>0.06</v>
      </c>
      <c r="I348">
        <v>43.199999999999996</v>
      </c>
      <c r="J348" t="s">
        <v>33</v>
      </c>
    </row>
    <row r="349" spans="1:10" x14ac:dyDescent="0.45">
      <c r="A349" t="s">
        <v>409</v>
      </c>
      <c r="B349" t="s">
        <v>53</v>
      </c>
      <c r="C349" t="s">
        <v>16</v>
      </c>
      <c r="D349" t="s">
        <v>13</v>
      </c>
      <c r="E349">
        <v>9</v>
      </c>
      <c r="F349">
        <v>40</v>
      </c>
      <c r="G349">
        <v>360</v>
      </c>
      <c r="H349">
        <v>0.01</v>
      </c>
      <c r="I349">
        <v>3.6</v>
      </c>
      <c r="J349" t="s">
        <v>36</v>
      </c>
    </row>
    <row r="350" spans="1:10" x14ac:dyDescent="0.45">
      <c r="A350" t="s">
        <v>410</v>
      </c>
      <c r="B350" t="s">
        <v>53</v>
      </c>
      <c r="C350" t="s">
        <v>16</v>
      </c>
      <c r="D350" t="s">
        <v>17</v>
      </c>
      <c r="E350">
        <v>7</v>
      </c>
      <c r="F350">
        <v>40</v>
      </c>
      <c r="G350">
        <v>280</v>
      </c>
      <c r="H350">
        <v>0.01</v>
      </c>
      <c r="I350">
        <v>2.8000000000000003</v>
      </c>
      <c r="J350" t="s">
        <v>38</v>
      </c>
    </row>
    <row r="351" spans="1:10" x14ac:dyDescent="0.45">
      <c r="A351" t="s">
        <v>411</v>
      </c>
      <c r="B351" t="s">
        <v>53</v>
      </c>
      <c r="C351" t="s">
        <v>20</v>
      </c>
      <c r="D351" t="s">
        <v>25</v>
      </c>
      <c r="E351">
        <v>12</v>
      </c>
      <c r="F351">
        <v>230</v>
      </c>
      <c r="G351">
        <v>2760</v>
      </c>
      <c r="H351">
        <v>0.06</v>
      </c>
      <c r="I351">
        <v>165.6</v>
      </c>
      <c r="J351" t="s">
        <v>40</v>
      </c>
    </row>
    <row r="352" spans="1:10" x14ac:dyDescent="0.45">
      <c r="A352" t="s">
        <v>412</v>
      </c>
      <c r="B352" t="s">
        <v>53</v>
      </c>
      <c r="C352" t="s">
        <v>31</v>
      </c>
      <c r="D352" t="s">
        <v>17</v>
      </c>
      <c r="E352">
        <v>22</v>
      </c>
      <c r="F352">
        <v>16</v>
      </c>
      <c r="G352">
        <v>352</v>
      </c>
      <c r="H352">
        <v>0.04</v>
      </c>
      <c r="I352">
        <v>14.08</v>
      </c>
      <c r="J352" t="s">
        <v>14</v>
      </c>
    </row>
    <row r="353" spans="1:10" x14ac:dyDescent="0.45">
      <c r="A353" t="s">
        <v>413</v>
      </c>
      <c r="B353" t="s">
        <v>67</v>
      </c>
      <c r="C353" t="s">
        <v>35</v>
      </c>
      <c r="D353" t="s">
        <v>13</v>
      </c>
      <c r="E353">
        <v>5</v>
      </c>
      <c r="F353">
        <v>150</v>
      </c>
      <c r="G353">
        <v>750</v>
      </c>
      <c r="H353">
        <v>0.11</v>
      </c>
      <c r="I353">
        <v>82.5</v>
      </c>
      <c r="J353" t="s">
        <v>18</v>
      </c>
    </row>
    <row r="354" spans="1:10" x14ac:dyDescent="0.45">
      <c r="A354" t="s">
        <v>414</v>
      </c>
      <c r="B354" t="s">
        <v>67</v>
      </c>
      <c r="C354" t="s">
        <v>12</v>
      </c>
      <c r="D354" t="s">
        <v>17</v>
      </c>
      <c r="E354">
        <v>14</v>
      </c>
      <c r="F354">
        <v>80</v>
      </c>
      <c r="G354">
        <v>1120</v>
      </c>
      <c r="H354">
        <v>0.11</v>
      </c>
      <c r="I354">
        <v>123.2</v>
      </c>
      <c r="J354" t="s">
        <v>21</v>
      </c>
    </row>
    <row r="355" spans="1:10" x14ac:dyDescent="0.45">
      <c r="A355" t="s">
        <v>415</v>
      </c>
      <c r="B355" t="s">
        <v>67</v>
      </c>
      <c r="C355" t="s">
        <v>31</v>
      </c>
      <c r="D355" t="s">
        <v>25</v>
      </c>
      <c r="E355">
        <v>8</v>
      </c>
      <c r="F355">
        <v>16</v>
      </c>
      <c r="G355">
        <v>128</v>
      </c>
      <c r="H355">
        <v>0.03</v>
      </c>
      <c r="I355">
        <v>3.84</v>
      </c>
      <c r="J355" t="s">
        <v>23</v>
      </c>
    </row>
    <row r="356" spans="1:10" x14ac:dyDescent="0.45">
      <c r="A356" t="s">
        <v>416</v>
      </c>
      <c r="B356" t="s">
        <v>67</v>
      </c>
      <c r="C356" t="s">
        <v>20</v>
      </c>
      <c r="D356" t="s">
        <v>25</v>
      </c>
      <c r="E356">
        <v>6</v>
      </c>
      <c r="F356">
        <v>230</v>
      </c>
      <c r="G356">
        <v>1380</v>
      </c>
      <c r="H356">
        <v>0.05</v>
      </c>
      <c r="I356">
        <v>69</v>
      </c>
      <c r="J356" t="s">
        <v>26</v>
      </c>
    </row>
    <row r="357" spans="1:10" x14ac:dyDescent="0.45">
      <c r="A357" t="s">
        <v>417</v>
      </c>
      <c r="B357" t="s">
        <v>67</v>
      </c>
      <c r="C357" t="s">
        <v>31</v>
      </c>
      <c r="D357" t="s">
        <v>28</v>
      </c>
      <c r="E357">
        <v>7</v>
      </c>
      <c r="F357">
        <v>16</v>
      </c>
      <c r="G357">
        <v>112</v>
      </c>
      <c r="H357">
        <v>0.08</v>
      </c>
      <c r="I357">
        <v>8.9600000000000009</v>
      </c>
      <c r="J357" t="s">
        <v>29</v>
      </c>
    </row>
    <row r="358" spans="1:10" x14ac:dyDescent="0.45">
      <c r="A358" t="s">
        <v>418</v>
      </c>
      <c r="B358" t="s">
        <v>67</v>
      </c>
      <c r="C358" t="s">
        <v>12</v>
      </c>
      <c r="D358" t="s">
        <v>17</v>
      </c>
      <c r="E358">
        <v>16</v>
      </c>
      <c r="F358">
        <v>80</v>
      </c>
      <c r="G358">
        <v>1280</v>
      </c>
      <c r="H358">
        <v>0.04</v>
      </c>
      <c r="I358">
        <v>51.2</v>
      </c>
      <c r="J358" t="s">
        <v>33</v>
      </c>
    </row>
    <row r="359" spans="1:10" x14ac:dyDescent="0.45">
      <c r="A359" t="s">
        <v>419</v>
      </c>
      <c r="B359" t="s">
        <v>67</v>
      </c>
      <c r="C359" t="s">
        <v>35</v>
      </c>
      <c r="D359" t="s">
        <v>13</v>
      </c>
      <c r="E359">
        <v>17</v>
      </c>
      <c r="F359">
        <v>150</v>
      </c>
      <c r="G359">
        <v>2550</v>
      </c>
      <c r="H359">
        <v>0.12</v>
      </c>
      <c r="I359">
        <v>306</v>
      </c>
      <c r="J359" t="s">
        <v>36</v>
      </c>
    </row>
    <row r="360" spans="1:10" x14ac:dyDescent="0.45">
      <c r="A360" t="s">
        <v>420</v>
      </c>
      <c r="B360" t="s">
        <v>67</v>
      </c>
      <c r="C360" t="s">
        <v>31</v>
      </c>
      <c r="D360" t="s">
        <v>17</v>
      </c>
      <c r="E360">
        <v>7</v>
      </c>
      <c r="F360">
        <v>16</v>
      </c>
      <c r="G360">
        <v>112</v>
      </c>
      <c r="H360">
        <v>0.08</v>
      </c>
      <c r="I360">
        <v>8.9600000000000009</v>
      </c>
      <c r="J360" t="s">
        <v>38</v>
      </c>
    </row>
    <row r="361" spans="1:10" x14ac:dyDescent="0.45">
      <c r="A361" t="s">
        <v>421</v>
      </c>
      <c r="B361" t="s">
        <v>77</v>
      </c>
      <c r="C361" t="s">
        <v>31</v>
      </c>
      <c r="D361" t="s">
        <v>13</v>
      </c>
      <c r="E361">
        <v>21</v>
      </c>
      <c r="F361">
        <v>16</v>
      </c>
      <c r="G361">
        <v>336</v>
      </c>
      <c r="H361">
        <v>0.09</v>
      </c>
      <c r="I361">
        <v>30.24</v>
      </c>
      <c r="J361" t="s">
        <v>40</v>
      </c>
    </row>
    <row r="362" spans="1:10" x14ac:dyDescent="0.45">
      <c r="A362" t="s">
        <v>422</v>
      </c>
      <c r="B362" t="s">
        <v>77</v>
      </c>
      <c r="C362" t="s">
        <v>31</v>
      </c>
      <c r="D362" t="s">
        <v>25</v>
      </c>
      <c r="E362">
        <v>23</v>
      </c>
      <c r="F362">
        <v>16</v>
      </c>
      <c r="G362">
        <v>368</v>
      </c>
      <c r="H362">
        <v>0.11</v>
      </c>
      <c r="I362">
        <v>40.479999999999997</v>
      </c>
      <c r="J362" t="s">
        <v>42</v>
      </c>
    </row>
    <row r="363" spans="1:10" x14ac:dyDescent="0.45">
      <c r="A363" t="s">
        <v>423</v>
      </c>
      <c r="B363" t="s">
        <v>77</v>
      </c>
      <c r="C363" t="s">
        <v>35</v>
      </c>
      <c r="D363" t="s">
        <v>25</v>
      </c>
      <c r="E363">
        <v>2</v>
      </c>
      <c r="F363">
        <v>150</v>
      </c>
      <c r="G363">
        <v>300</v>
      </c>
      <c r="H363">
        <v>0.02</v>
      </c>
      <c r="I363">
        <v>6</v>
      </c>
      <c r="J363" t="s">
        <v>45</v>
      </c>
    </row>
    <row r="364" spans="1:10" x14ac:dyDescent="0.45">
      <c r="A364" t="s">
        <v>424</v>
      </c>
      <c r="B364" t="s">
        <v>77</v>
      </c>
      <c r="C364" t="s">
        <v>35</v>
      </c>
      <c r="D364" t="s">
        <v>13</v>
      </c>
      <c r="E364">
        <v>22</v>
      </c>
      <c r="F364">
        <v>150</v>
      </c>
      <c r="G364">
        <v>3300</v>
      </c>
      <c r="H364">
        <v>7.0000000000000007E-2</v>
      </c>
      <c r="I364">
        <v>231.00000000000003</v>
      </c>
      <c r="J364" t="s">
        <v>14</v>
      </c>
    </row>
    <row r="365" spans="1:10" x14ac:dyDescent="0.45">
      <c r="A365" t="s">
        <v>425</v>
      </c>
      <c r="B365" t="s">
        <v>77</v>
      </c>
      <c r="C365" t="s">
        <v>16</v>
      </c>
      <c r="D365" t="s">
        <v>28</v>
      </c>
      <c r="E365">
        <v>22</v>
      </c>
      <c r="F365">
        <v>40</v>
      </c>
      <c r="G365">
        <v>880</v>
      </c>
      <c r="H365">
        <v>0.01</v>
      </c>
      <c r="I365">
        <v>8.8000000000000007</v>
      </c>
      <c r="J365" t="s">
        <v>18</v>
      </c>
    </row>
    <row r="366" spans="1:10" x14ac:dyDescent="0.45">
      <c r="A366" t="s">
        <v>426</v>
      </c>
      <c r="B366" t="s">
        <v>77</v>
      </c>
      <c r="C366" t="s">
        <v>12</v>
      </c>
      <c r="D366" t="s">
        <v>17</v>
      </c>
      <c r="E366">
        <v>10</v>
      </c>
      <c r="F366">
        <v>80</v>
      </c>
      <c r="G366">
        <v>800</v>
      </c>
      <c r="H366">
        <v>0.11</v>
      </c>
      <c r="I366">
        <v>88</v>
      </c>
      <c r="J366" t="s">
        <v>21</v>
      </c>
    </row>
    <row r="367" spans="1:10" x14ac:dyDescent="0.45">
      <c r="A367" t="s">
        <v>427</v>
      </c>
      <c r="B367" t="s">
        <v>77</v>
      </c>
      <c r="C367" t="s">
        <v>12</v>
      </c>
      <c r="D367" t="s">
        <v>32</v>
      </c>
      <c r="E367">
        <v>13</v>
      </c>
      <c r="F367">
        <v>80</v>
      </c>
      <c r="G367">
        <v>1040</v>
      </c>
      <c r="H367">
        <v>0.05</v>
      </c>
      <c r="I367">
        <v>52</v>
      </c>
      <c r="J367" t="s">
        <v>23</v>
      </c>
    </row>
    <row r="368" spans="1:10" x14ac:dyDescent="0.45">
      <c r="A368" t="s">
        <v>428</v>
      </c>
      <c r="B368" t="s">
        <v>77</v>
      </c>
      <c r="C368" t="s">
        <v>20</v>
      </c>
      <c r="D368" t="s">
        <v>28</v>
      </c>
      <c r="E368">
        <v>11</v>
      </c>
      <c r="F368">
        <v>230</v>
      </c>
      <c r="G368">
        <v>2530</v>
      </c>
      <c r="H368">
        <v>0.12</v>
      </c>
      <c r="I368">
        <v>303.59999999999997</v>
      </c>
      <c r="J368" t="s">
        <v>26</v>
      </c>
    </row>
    <row r="369" spans="1:10" x14ac:dyDescent="0.45">
      <c r="A369" t="s">
        <v>429</v>
      </c>
      <c r="B369" t="s">
        <v>77</v>
      </c>
      <c r="C369" t="s">
        <v>20</v>
      </c>
      <c r="D369" t="s">
        <v>13</v>
      </c>
      <c r="E369">
        <v>9</v>
      </c>
      <c r="F369">
        <v>230</v>
      </c>
      <c r="G369">
        <v>2070</v>
      </c>
      <c r="H369">
        <v>7.0000000000000007E-2</v>
      </c>
      <c r="I369">
        <v>144.9</v>
      </c>
      <c r="J369" t="s">
        <v>29</v>
      </c>
    </row>
    <row r="370" spans="1:10" x14ac:dyDescent="0.45">
      <c r="A370" t="s">
        <v>430</v>
      </c>
      <c r="B370" t="s">
        <v>77</v>
      </c>
      <c r="C370" t="s">
        <v>20</v>
      </c>
      <c r="D370" t="s">
        <v>28</v>
      </c>
      <c r="E370">
        <v>16</v>
      </c>
      <c r="F370">
        <v>230</v>
      </c>
      <c r="G370">
        <v>3680</v>
      </c>
      <c r="H370">
        <v>0.11</v>
      </c>
      <c r="I370">
        <v>404.8</v>
      </c>
      <c r="J370" t="s">
        <v>33</v>
      </c>
    </row>
    <row r="371" spans="1:10" x14ac:dyDescent="0.45">
      <c r="A371" t="s">
        <v>431</v>
      </c>
      <c r="B371" t="s">
        <v>77</v>
      </c>
      <c r="C371" t="s">
        <v>20</v>
      </c>
      <c r="D371" t="s">
        <v>28</v>
      </c>
      <c r="E371">
        <v>18</v>
      </c>
      <c r="F371">
        <v>230</v>
      </c>
      <c r="G371">
        <v>4140</v>
      </c>
      <c r="H371">
        <v>0.01</v>
      </c>
      <c r="I371">
        <v>41.4</v>
      </c>
      <c r="J371" t="s">
        <v>36</v>
      </c>
    </row>
    <row r="372" spans="1:10" x14ac:dyDescent="0.45">
      <c r="A372" t="s">
        <v>432</v>
      </c>
      <c r="B372" t="s">
        <v>77</v>
      </c>
      <c r="C372" t="s">
        <v>31</v>
      </c>
      <c r="D372" t="s">
        <v>17</v>
      </c>
      <c r="E372">
        <v>15</v>
      </c>
      <c r="F372">
        <v>16</v>
      </c>
      <c r="G372">
        <v>240</v>
      </c>
      <c r="H372">
        <v>0.02</v>
      </c>
      <c r="I372">
        <v>4.8</v>
      </c>
      <c r="J372" t="s">
        <v>38</v>
      </c>
    </row>
    <row r="373" spans="1:10" x14ac:dyDescent="0.45">
      <c r="A373" t="s">
        <v>433</v>
      </c>
      <c r="B373" t="s">
        <v>77</v>
      </c>
      <c r="C373" t="s">
        <v>16</v>
      </c>
      <c r="D373" t="s">
        <v>32</v>
      </c>
      <c r="E373">
        <v>18</v>
      </c>
      <c r="F373">
        <v>40</v>
      </c>
      <c r="G373">
        <v>720</v>
      </c>
      <c r="H373">
        <v>0.06</v>
      </c>
      <c r="I373">
        <v>43.199999999999996</v>
      </c>
      <c r="J373" t="s">
        <v>40</v>
      </c>
    </row>
    <row r="374" spans="1:10" x14ac:dyDescent="0.45">
      <c r="A374" t="s">
        <v>434</v>
      </c>
      <c r="B374" t="s">
        <v>77</v>
      </c>
      <c r="C374" t="s">
        <v>16</v>
      </c>
      <c r="D374" t="s">
        <v>28</v>
      </c>
      <c r="E374">
        <v>18</v>
      </c>
      <c r="F374">
        <v>40</v>
      </c>
      <c r="G374">
        <v>720</v>
      </c>
      <c r="H374">
        <v>0.04</v>
      </c>
      <c r="I374">
        <v>28.8</v>
      </c>
      <c r="J374" t="s">
        <v>42</v>
      </c>
    </row>
    <row r="375" spans="1:10" x14ac:dyDescent="0.45">
      <c r="A375" t="s">
        <v>435</v>
      </c>
      <c r="B375" t="s">
        <v>77</v>
      </c>
      <c r="C375" t="s">
        <v>31</v>
      </c>
      <c r="D375" t="s">
        <v>28</v>
      </c>
      <c r="E375">
        <v>22</v>
      </c>
      <c r="F375">
        <v>16</v>
      </c>
      <c r="G375">
        <v>352</v>
      </c>
      <c r="H375">
        <v>0.03</v>
      </c>
      <c r="I375">
        <v>10.559999999999999</v>
      </c>
      <c r="J375" t="s">
        <v>45</v>
      </c>
    </row>
    <row r="376" spans="1:10" x14ac:dyDescent="0.45">
      <c r="A376" t="s">
        <v>436</v>
      </c>
      <c r="B376" t="s">
        <v>77</v>
      </c>
      <c r="C376" t="s">
        <v>31</v>
      </c>
      <c r="D376" t="s">
        <v>25</v>
      </c>
      <c r="E376">
        <v>12</v>
      </c>
      <c r="F376">
        <v>16</v>
      </c>
      <c r="G376">
        <v>192</v>
      </c>
      <c r="H376">
        <v>0.11</v>
      </c>
      <c r="I376">
        <v>21.12</v>
      </c>
      <c r="J376" t="s">
        <v>14</v>
      </c>
    </row>
    <row r="377" spans="1:10" x14ac:dyDescent="0.45">
      <c r="A377" t="s">
        <v>437</v>
      </c>
      <c r="B377" t="s">
        <v>86</v>
      </c>
      <c r="C377" t="s">
        <v>12</v>
      </c>
      <c r="D377" t="s">
        <v>13</v>
      </c>
      <c r="E377">
        <v>20</v>
      </c>
      <c r="F377">
        <v>80</v>
      </c>
      <c r="G377">
        <v>1600</v>
      </c>
      <c r="H377">
        <v>0.01</v>
      </c>
      <c r="I377">
        <v>16</v>
      </c>
      <c r="J377" t="s">
        <v>18</v>
      </c>
    </row>
    <row r="378" spans="1:10" x14ac:dyDescent="0.45">
      <c r="A378" t="s">
        <v>438</v>
      </c>
      <c r="B378" t="s">
        <v>86</v>
      </c>
      <c r="C378" t="s">
        <v>20</v>
      </c>
      <c r="D378" t="s">
        <v>25</v>
      </c>
      <c r="E378">
        <v>10</v>
      </c>
      <c r="F378">
        <v>230</v>
      </c>
      <c r="G378">
        <v>2300</v>
      </c>
      <c r="H378">
        <v>0.02</v>
      </c>
      <c r="I378">
        <v>46</v>
      </c>
      <c r="J378" t="s">
        <v>21</v>
      </c>
    </row>
    <row r="379" spans="1:10" x14ac:dyDescent="0.45">
      <c r="A379" t="s">
        <v>439</v>
      </c>
      <c r="B379" t="s">
        <v>86</v>
      </c>
      <c r="C379" t="s">
        <v>20</v>
      </c>
      <c r="D379" t="s">
        <v>17</v>
      </c>
      <c r="E379">
        <v>9</v>
      </c>
      <c r="F379">
        <v>230</v>
      </c>
      <c r="G379">
        <v>2070</v>
      </c>
      <c r="H379">
        <v>0.03</v>
      </c>
      <c r="I379">
        <v>62.099999999999994</v>
      </c>
      <c r="J379" t="s">
        <v>23</v>
      </c>
    </row>
    <row r="380" spans="1:10" x14ac:dyDescent="0.45">
      <c r="A380" t="s">
        <v>440</v>
      </c>
      <c r="B380" t="s">
        <v>86</v>
      </c>
      <c r="C380" t="s">
        <v>12</v>
      </c>
      <c r="D380" t="s">
        <v>17</v>
      </c>
      <c r="E380">
        <v>17</v>
      </c>
      <c r="F380">
        <v>80</v>
      </c>
      <c r="G380">
        <v>1360</v>
      </c>
      <c r="H380">
        <v>0.03</v>
      </c>
      <c r="I380">
        <v>40.799999999999997</v>
      </c>
      <c r="J380" t="s">
        <v>26</v>
      </c>
    </row>
    <row r="381" spans="1:10" x14ac:dyDescent="0.45">
      <c r="A381" t="s">
        <v>441</v>
      </c>
      <c r="B381" t="s">
        <v>86</v>
      </c>
      <c r="C381" t="s">
        <v>16</v>
      </c>
      <c r="D381" t="s">
        <v>32</v>
      </c>
      <c r="E381">
        <v>4</v>
      </c>
      <c r="F381">
        <v>40</v>
      </c>
      <c r="G381">
        <v>160</v>
      </c>
      <c r="H381">
        <v>0.09</v>
      </c>
      <c r="I381">
        <v>14.399999999999999</v>
      </c>
      <c r="J381" t="s">
        <v>29</v>
      </c>
    </row>
    <row r="382" spans="1:10" x14ac:dyDescent="0.45">
      <c r="A382" t="s">
        <v>442</v>
      </c>
      <c r="B382" t="s">
        <v>86</v>
      </c>
      <c r="C382" t="s">
        <v>35</v>
      </c>
      <c r="D382" t="s">
        <v>17</v>
      </c>
      <c r="E382">
        <v>16</v>
      </c>
      <c r="F382">
        <v>150</v>
      </c>
      <c r="G382">
        <v>2400</v>
      </c>
      <c r="H382">
        <v>0.03</v>
      </c>
      <c r="I382">
        <v>72</v>
      </c>
      <c r="J382" t="s">
        <v>33</v>
      </c>
    </row>
    <row r="383" spans="1:10" x14ac:dyDescent="0.45">
      <c r="A383" t="s">
        <v>443</v>
      </c>
      <c r="B383" t="s">
        <v>86</v>
      </c>
      <c r="C383" t="s">
        <v>12</v>
      </c>
      <c r="D383" t="s">
        <v>25</v>
      </c>
      <c r="E383">
        <v>8</v>
      </c>
      <c r="F383">
        <v>80</v>
      </c>
      <c r="G383">
        <v>640</v>
      </c>
      <c r="H383">
        <v>0.02</v>
      </c>
      <c r="I383">
        <v>12.8</v>
      </c>
      <c r="J383" t="s">
        <v>36</v>
      </c>
    </row>
    <row r="384" spans="1:10" x14ac:dyDescent="0.45">
      <c r="A384" t="s">
        <v>444</v>
      </c>
      <c r="B384" t="s">
        <v>86</v>
      </c>
      <c r="C384" t="s">
        <v>16</v>
      </c>
      <c r="D384" t="s">
        <v>28</v>
      </c>
      <c r="E384">
        <v>23</v>
      </c>
      <c r="F384">
        <v>40</v>
      </c>
      <c r="G384">
        <v>920</v>
      </c>
      <c r="H384">
        <v>0.06</v>
      </c>
      <c r="I384">
        <v>55.199999999999996</v>
      </c>
      <c r="J384" t="s">
        <v>38</v>
      </c>
    </row>
    <row r="385" spans="1:10" x14ac:dyDescent="0.45">
      <c r="A385" t="s">
        <v>445</v>
      </c>
      <c r="B385" t="s">
        <v>102</v>
      </c>
      <c r="C385" t="s">
        <v>35</v>
      </c>
      <c r="D385" t="s">
        <v>28</v>
      </c>
      <c r="E385">
        <v>20</v>
      </c>
      <c r="F385">
        <v>150</v>
      </c>
      <c r="G385">
        <v>3000</v>
      </c>
      <c r="H385">
        <v>0.1</v>
      </c>
      <c r="I385">
        <v>300</v>
      </c>
      <c r="J385" t="s">
        <v>40</v>
      </c>
    </row>
    <row r="386" spans="1:10" x14ac:dyDescent="0.45">
      <c r="A386" t="s">
        <v>446</v>
      </c>
      <c r="B386" t="s">
        <v>102</v>
      </c>
      <c r="C386" t="s">
        <v>20</v>
      </c>
      <c r="D386" t="s">
        <v>32</v>
      </c>
      <c r="E386">
        <v>22</v>
      </c>
      <c r="F386">
        <v>230</v>
      </c>
      <c r="G386">
        <v>5060</v>
      </c>
      <c r="H386">
        <v>0.1</v>
      </c>
      <c r="I386">
        <v>506</v>
      </c>
      <c r="J386" t="s">
        <v>42</v>
      </c>
    </row>
    <row r="387" spans="1:10" x14ac:dyDescent="0.45">
      <c r="A387" t="s">
        <v>447</v>
      </c>
      <c r="B387" t="s">
        <v>102</v>
      </c>
      <c r="C387" t="s">
        <v>20</v>
      </c>
      <c r="D387" t="s">
        <v>17</v>
      </c>
      <c r="E387">
        <v>6</v>
      </c>
      <c r="F387">
        <v>230</v>
      </c>
      <c r="G387">
        <v>1380</v>
      </c>
      <c r="H387">
        <v>0.1</v>
      </c>
      <c r="I387">
        <v>138</v>
      </c>
      <c r="J387" t="s">
        <v>45</v>
      </c>
    </row>
    <row r="388" spans="1:10" x14ac:dyDescent="0.45">
      <c r="A388" t="s">
        <v>448</v>
      </c>
      <c r="B388" t="s">
        <v>102</v>
      </c>
      <c r="C388" t="s">
        <v>12</v>
      </c>
      <c r="D388" t="s">
        <v>28</v>
      </c>
      <c r="E388">
        <v>10</v>
      </c>
      <c r="F388">
        <v>80</v>
      </c>
      <c r="G388">
        <v>800</v>
      </c>
      <c r="H388">
        <v>0.1</v>
      </c>
      <c r="I388">
        <v>80</v>
      </c>
      <c r="J388" t="s">
        <v>14</v>
      </c>
    </row>
    <row r="389" spans="1:10" x14ac:dyDescent="0.45">
      <c r="A389" t="s">
        <v>449</v>
      </c>
      <c r="B389" t="s">
        <v>102</v>
      </c>
      <c r="C389" t="s">
        <v>20</v>
      </c>
      <c r="D389" t="s">
        <v>32</v>
      </c>
      <c r="E389">
        <v>21</v>
      </c>
      <c r="F389">
        <v>230</v>
      </c>
      <c r="G389">
        <v>4830</v>
      </c>
      <c r="H389">
        <v>0.05</v>
      </c>
      <c r="I389">
        <v>241.5</v>
      </c>
      <c r="J389" t="s">
        <v>18</v>
      </c>
    </row>
    <row r="390" spans="1:10" x14ac:dyDescent="0.45">
      <c r="A390" t="s">
        <v>450</v>
      </c>
      <c r="B390" t="s">
        <v>102</v>
      </c>
      <c r="C390" t="s">
        <v>20</v>
      </c>
      <c r="D390" t="s">
        <v>13</v>
      </c>
      <c r="E390">
        <v>20</v>
      </c>
      <c r="F390">
        <v>230</v>
      </c>
      <c r="G390">
        <v>4600</v>
      </c>
      <c r="H390">
        <v>0.04</v>
      </c>
      <c r="I390">
        <v>184</v>
      </c>
      <c r="J390" t="s">
        <v>21</v>
      </c>
    </row>
    <row r="391" spans="1:10" x14ac:dyDescent="0.45">
      <c r="A391" t="s">
        <v>451</v>
      </c>
      <c r="B391" t="s">
        <v>102</v>
      </c>
      <c r="C391" t="s">
        <v>12</v>
      </c>
      <c r="D391" t="s">
        <v>25</v>
      </c>
      <c r="E391">
        <v>20</v>
      </c>
      <c r="F391">
        <v>80</v>
      </c>
      <c r="G391">
        <v>1600</v>
      </c>
      <c r="H391">
        <v>7.0000000000000007E-2</v>
      </c>
      <c r="I391">
        <v>112.00000000000001</v>
      </c>
      <c r="J391" t="s">
        <v>23</v>
      </c>
    </row>
    <row r="392" spans="1:10" x14ac:dyDescent="0.45">
      <c r="A392" t="s">
        <v>452</v>
      </c>
      <c r="B392" t="s">
        <v>102</v>
      </c>
      <c r="C392" t="s">
        <v>12</v>
      </c>
      <c r="D392" t="s">
        <v>25</v>
      </c>
      <c r="E392">
        <v>7</v>
      </c>
      <c r="F392">
        <v>80</v>
      </c>
      <c r="G392">
        <v>560</v>
      </c>
      <c r="H392">
        <v>0.05</v>
      </c>
      <c r="I392">
        <v>28</v>
      </c>
      <c r="J392" t="s">
        <v>26</v>
      </c>
    </row>
    <row r="393" spans="1:10" x14ac:dyDescent="0.45">
      <c r="A393" t="s">
        <v>453</v>
      </c>
      <c r="B393" t="s">
        <v>102</v>
      </c>
      <c r="C393" t="s">
        <v>12</v>
      </c>
      <c r="D393" t="s">
        <v>13</v>
      </c>
      <c r="E393">
        <v>8</v>
      </c>
      <c r="F393">
        <v>80</v>
      </c>
      <c r="G393">
        <v>640</v>
      </c>
      <c r="H393">
        <v>0.09</v>
      </c>
      <c r="I393">
        <v>57.599999999999994</v>
      </c>
      <c r="J393" t="s">
        <v>29</v>
      </c>
    </row>
    <row r="394" spans="1:10" x14ac:dyDescent="0.45">
      <c r="A394" t="s">
        <v>454</v>
      </c>
      <c r="B394" t="s">
        <v>102</v>
      </c>
      <c r="C394" t="s">
        <v>12</v>
      </c>
      <c r="D394" t="s">
        <v>17</v>
      </c>
      <c r="E394">
        <v>3</v>
      </c>
      <c r="F394">
        <v>80</v>
      </c>
      <c r="G394">
        <v>240</v>
      </c>
      <c r="H394">
        <v>0.02</v>
      </c>
      <c r="I394">
        <v>4.8</v>
      </c>
      <c r="J394" t="s">
        <v>33</v>
      </c>
    </row>
    <row r="395" spans="1:10" x14ac:dyDescent="0.45">
      <c r="A395" t="s">
        <v>455</v>
      </c>
      <c r="B395" t="s">
        <v>102</v>
      </c>
      <c r="C395" t="s">
        <v>12</v>
      </c>
      <c r="D395" t="s">
        <v>28</v>
      </c>
      <c r="E395">
        <v>8</v>
      </c>
      <c r="F395">
        <v>80</v>
      </c>
      <c r="G395">
        <v>640</v>
      </c>
      <c r="H395">
        <v>0.06</v>
      </c>
      <c r="I395">
        <v>38.4</v>
      </c>
      <c r="J395" t="s">
        <v>36</v>
      </c>
    </row>
    <row r="396" spans="1:10" x14ac:dyDescent="0.45">
      <c r="A396" t="s">
        <v>456</v>
      </c>
      <c r="B396" t="s">
        <v>102</v>
      </c>
      <c r="C396" t="s">
        <v>35</v>
      </c>
      <c r="D396" t="s">
        <v>32</v>
      </c>
      <c r="E396">
        <v>13</v>
      </c>
      <c r="F396">
        <v>150</v>
      </c>
      <c r="G396">
        <v>1950</v>
      </c>
      <c r="H396">
        <v>0.11</v>
      </c>
      <c r="I396">
        <v>214.5</v>
      </c>
      <c r="J396" t="s">
        <v>38</v>
      </c>
    </row>
    <row r="397" spans="1:10" x14ac:dyDescent="0.45">
      <c r="A397" t="s">
        <v>457</v>
      </c>
      <c r="B397" t="s">
        <v>102</v>
      </c>
      <c r="C397" t="s">
        <v>12</v>
      </c>
      <c r="D397" t="s">
        <v>28</v>
      </c>
      <c r="E397">
        <v>15</v>
      </c>
      <c r="F397">
        <v>80</v>
      </c>
      <c r="G397">
        <v>1200</v>
      </c>
      <c r="H397">
        <v>0.08</v>
      </c>
      <c r="I397">
        <v>96</v>
      </c>
      <c r="J397" t="s">
        <v>40</v>
      </c>
    </row>
    <row r="398" spans="1:10" x14ac:dyDescent="0.45">
      <c r="A398" t="s">
        <v>458</v>
      </c>
      <c r="B398" t="s">
        <v>102</v>
      </c>
      <c r="C398" t="s">
        <v>35</v>
      </c>
      <c r="D398" t="s">
        <v>32</v>
      </c>
      <c r="E398">
        <v>7</v>
      </c>
      <c r="F398">
        <v>150</v>
      </c>
      <c r="G398">
        <v>1050</v>
      </c>
      <c r="H398">
        <v>0.02</v>
      </c>
      <c r="I398">
        <v>21</v>
      </c>
      <c r="J398" t="s">
        <v>42</v>
      </c>
    </row>
    <row r="399" spans="1:10" x14ac:dyDescent="0.45">
      <c r="A399" t="s">
        <v>459</v>
      </c>
      <c r="B399" t="s">
        <v>102</v>
      </c>
      <c r="C399" t="s">
        <v>16</v>
      </c>
      <c r="D399" t="s">
        <v>25</v>
      </c>
      <c r="E399">
        <v>6</v>
      </c>
      <c r="F399">
        <v>40</v>
      </c>
      <c r="G399">
        <v>240</v>
      </c>
      <c r="H399">
        <v>0.06</v>
      </c>
      <c r="I399">
        <v>14.399999999999999</v>
      </c>
      <c r="J399" t="s">
        <v>45</v>
      </c>
    </row>
    <row r="400" spans="1:10" x14ac:dyDescent="0.45">
      <c r="A400" t="s">
        <v>460</v>
      </c>
      <c r="B400" t="s">
        <v>102</v>
      </c>
      <c r="C400" t="s">
        <v>12</v>
      </c>
      <c r="D400" t="s">
        <v>28</v>
      </c>
      <c r="E400">
        <v>23</v>
      </c>
      <c r="F400">
        <v>80</v>
      </c>
      <c r="G400">
        <v>1840</v>
      </c>
      <c r="H400">
        <v>0.11</v>
      </c>
      <c r="I400">
        <v>202.4</v>
      </c>
      <c r="J400" t="s">
        <v>14</v>
      </c>
    </row>
    <row r="401" spans="1:10" x14ac:dyDescent="0.45">
      <c r="A401" t="s">
        <v>461</v>
      </c>
      <c r="B401" t="s">
        <v>102</v>
      </c>
      <c r="C401" t="s">
        <v>20</v>
      </c>
      <c r="D401" t="s">
        <v>25</v>
      </c>
      <c r="E401">
        <v>18</v>
      </c>
      <c r="F401">
        <v>230</v>
      </c>
      <c r="G401">
        <v>4140</v>
      </c>
      <c r="H401">
        <v>0.01</v>
      </c>
      <c r="I401">
        <v>41.4</v>
      </c>
      <c r="J401" t="s">
        <v>18</v>
      </c>
    </row>
    <row r="402" spans="1:10" x14ac:dyDescent="0.45">
      <c r="A402" t="s">
        <v>462</v>
      </c>
      <c r="B402" t="s">
        <v>116</v>
      </c>
      <c r="C402" t="s">
        <v>12</v>
      </c>
      <c r="D402" t="s">
        <v>32</v>
      </c>
      <c r="E402">
        <v>21</v>
      </c>
      <c r="F402">
        <v>80</v>
      </c>
      <c r="G402">
        <v>1680</v>
      </c>
      <c r="H402">
        <v>0.09</v>
      </c>
      <c r="I402">
        <v>151.19999999999999</v>
      </c>
      <c r="J402" t="s">
        <v>21</v>
      </c>
    </row>
    <row r="403" spans="1:10" x14ac:dyDescent="0.45">
      <c r="A403" t="s">
        <v>463</v>
      </c>
      <c r="B403" t="s">
        <v>116</v>
      </c>
      <c r="C403" t="s">
        <v>16</v>
      </c>
      <c r="D403" t="s">
        <v>25</v>
      </c>
      <c r="E403">
        <v>13</v>
      </c>
      <c r="F403">
        <v>40</v>
      </c>
      <c r="G403">
        <v>520</v>
      </c>
      <c r="H403">
        <v>0.02</v>
      </c>
      <c r="I403">
        <v>10.4</v>
      </c>
      <c r="J403" t="s">
        <v>23</v>
      </c>
    </row>
    <row r="404" spans="1:10" x14ac:dyDescent="0.45">
      <c r="A404" t="s">
        <v>464</v>
      </c>
      <c r="B404" t="s">
        <v>116</v>
      </c>
      <c r="C404" t="s">
        <v>12</v>
      </c>
      <c r="D404" t="s">
        <v>25</v>
      </c>
      <c r="E404">
        <v>23</v>
      </c>
      <c r="F404">
        <v>80</v>
      </c>
      <c r="G404">
        <v>1840</v>
      </c>
      <c r="H404">
        <v>0.05</v>
      </c>
      <c r="I404">
        <v>92</v>
      </c>
      <c r="J404" t="s">
        <v>26</v>
      </c>
    </row>
    <row r="405" spans="1:10" x14ac:dyDescent="0.45">
      <c r="A405" t="s">
        <v>465</v>
      </c>
      <c r="B405" t="s">
        <v>116</v>
      </c>
      <c r="C405" t="s">
        <v>35</v>
      </c>
      <c r="D405" t="s">
        <v>28</v>
      </c>
      <c r="E405">
        <v>15</v>
      </c>
      <c r="F405">
        <v>150</v>
      </c>
      <c r="G405">
        <v>2250</v>
      </c>
      <c r="H405">
        <v>0.05</v>
      </c>
      <c r="I405">
        <v>112.5</v>
      </c>
      <c r="J405" t="s">
        <v>29</v>
      </c>
    </row>
    <row r="406" spans="1:10" x14ac:dyDescent="0.45">
      <c r="A406" t="s">
        <v>466</v>
      </c>
      <c r="B406" t="s">
        <v>116</v>
      </c>
      <c r="C406" t="s">
        <v>16</v>
      </c>
      <c r="D406" t="s">
        <v>13</v>
      </c>
      <c r="E406">
        <v>5</v>
      </c>
      <c r="F406">
        <v>40</v>
      </c>
      <c r="G406">
        <v>200</v>
      </c>
      <c r="H406">
        <v>0.09</v>
      </c>
      <c r="I406">
        <v>18</v>
      </c>
      <c r="J406" t="s">
        <v>33</v>
      </c>
    </row>
    <row r="407" spans="1:10" x14ac:dyDescent="0.45">
      <c r="A407" t="s">
        <v>467</v>
      </c>
      <c r="B407" t="s">
        <v>116</v>
      </c>
      <c r="C407" t="s">
        <v>31</v>
      </c>
      <c r="D407" t="s">
        <v>28</v>
      </c>
      <c r="E407">
        <v>10</v>
      </c>
      <c r="F407">
        <v>16</v>
      </c>
      <c r="G407">
        <v>160</v>
      </c>
      <c r="H407">
        <v>0.01</v>
      </c>
      <c r="I407">
        <v>1.6</v>
      </c>
      <c r="J407" t="s">
        <v>36</v>
      </c>
    </row>
    <row r="408" spans="1:10" x14ac:dyDescent="0.45">
      <c r="A408" t="s">
        <v>468</v>
      </c>
      <c r="B408" t="s">
        <v>116</v>
      </c>
      <c r="C408" t="s">
        <v>20</v>
      </c>
      <c r="D408" t="s">
        <v>25</v>
      </c>
      <c r="E408">
        <v>2</v>
      </c>
      <c r="F408">
        <v>230</v>
      </c>
      <c r="G408">
        <v>460</v>
      </c>
      <c r="H408">
        <v>0.09</v>
      </c>
      <c r="I408">
        <v>41.4</v>
      </c>
      <c r="J408" t="s">
        <v>38</v>
      </c>
    </row>
    <row r="409" spans="1:10" x14ac:dyDescent="0.45">
      <c r="A409" t="s">
        <v>469</v>
      </c>
      <c r="B409" t="s">
        <v>116</v>
      </c>
      <c r="C409" t="s">
        <v>12</v>
      </c>
      <c r="D409" t="s">
        <v>28</v>
      </c>
      <c r="E409">
        <v>7</v>
      </c>
      <c r="F409">
        <v>80</v>
      </c>
      <c r="G409">
        <v>560</v>
      </c>
      <c r="H409">
        <v>0.02</v>
      </c>
      <c r="I409">
        <v>11.200000000000001</v>
      </c>
      <c r="J409" t="s">
        <v>40</v>
      </c>
    </row>
    <row r="410" spans="1:10" x14ac:dyDescent="0.45">
      <c r="A410" t="s">
        <v>470</v>
      </c>
      <c r="B410" t="s">
        <v>116</v>
      </c>
      <c r="C410" t="s">
        <v>35</v>
      </c>
      <c r="D410" t="s">
        <v>28</v>
      </c>
      <c r="E410">
        <v>22</v>
      </c>
      <c r="F410">
        <v>150</v>
      </c>
      <c r="G410">
        <v>3300</v>
      </c>
      <c r="H410">
        <v>0.05</v>
      </c>
      <c r="I410">
        <v>165</v>
      </c>
      <c r="J410" t="s">
        <v>42</v>
      </c>
    </row>
    <row r="411" spans="1:10" x14ac:dyDescent="0.45">
      <c r="A411" t="s">
        <v>471</v>
      </c>
      <c r="B411" t="s">
        <v>116</v>
      </c>
      <c r="C411" t="s">
        <v>16</v>
      </c>
      <c r="D411" t="s">
        <v>32</v>
      </c>
      <c r="E411">
        <v>17</v>
      </c>
      <c r="F411">
        <v>40</v>
      </c>
      <c r="G411">
        <v>680</v>
      </c>
      <c r="H411">
        <v>0.02</v>
      </c>
      <c r="I411">
        <v>13.6</v>
      </c>
      <c r="J411" t="s">
        <v>45</v>
      </c>
    </row>
    <row r="412" spans="1:10" x14ac:dyDescent="0.45">
      <c r="A412" t="s">
        <v>472</v>
      </c>
      <c r="B412" t="s">
        <v>116</v>
      </c>
      <c r="C412" t="s">
        <v>31</v>
      </c>
      <c r="D412" t="s">
        <v>13</v>
      </c>
      <c r="E412">
        <v>22</v>
      </c>
      <c r="F412">
        <v>16</v>
      </c>
      <c r="G412">
        <v>352</v>
      </c>
      <c r="H412">
        <v>0.06</v>
      </c>
      <c r="I412">
        <v>21.119999999999997</v>
      </c>
      <c r="J412" t="s">
        <v>14</v>
      </c>
    </row>
    <row r="413" spans="1:10" x14ac:dyDescent="0.45">
      <c r="A413" t="s">
        <v>473</v>
      </c>
      <c r="B413" t="s">
        <v>116</v>
      </c>
      <c r="C413" t="s">
        <v>31</v>
      </c>
      <c r="D413" t="s">
        <v>32</v>
      </c>
      <c r="E413">
        <v>3</v>
      </c>
      <c r="F413">
        <v>16</v>
      </c>
      <c r="G413">
        <v>48</v>
      </c>
      <c r="H413">
        <v>0.03</v>
      </c>
      <c r="I413">
        <v>1.44</v>
      </c>
      <c r="J413" t="s">
        <v>18</v>
      </c>
    </row>
    <row r="414" spans="1:10" x14ac:dyDescent="0.45">
      <c r="A414" t="s">
        <v>474</v>
      </c>
      <c r="B414" t="s">
        <v>116</v>
      </c>
      <c r="C414" t="s">
        <v>20</v>
      </c>
      <c r="D414" t="s">
        <v>32</v>
      </c>
      <c r="E414">
        <v>2</v>
      </c>
      <c r="F414">
        <v>230</v>
      </c>
      <c r="G414">
        <v>460</v>
      </c>
      <c r="H414">
        <v>0.08</v>
      </c>
      <c r="I414">
        <v>36.800000000000004</v>
      </c>
      <c r="J414" t="s">
        <v>21</v>
      </c>
    </row>
    <row r="415" spans="1:10" x14ac:dyDescent="0.45">
      <c r="A415" t="s">
        <v>475</v>
      </c>
      <c r="B415" t="s">
        <v>116</v>
      </c>
      <c r="C415" t="s">
        <v>31</v>
      </c>
      <c r="D415" t="s">
        <v>13</v>
      </c>
      <c r="E415">
        <v>21</v>
      </c>
      <c r="F415">
        <v>16</v>
      </c>
      <c r="G415">
        <v>336</v>
      </c>
      <c r="H415">
        <v>0.09</v>
      </c>
      <c r="I415">
        <v>30.24</v>
      </c>
      <c r="J415" t="s">
        <v>23</v>
      </c>
    </row>
    <row r="416" spans="1:10" x14ac:dyDescent="0.45">
      <c r="A416" t="s">
        <v>476</v>
      </c>
      <c r="B416" t="s">
        <v>116</v>
      </c>
      <c r="C416" t="s">
        <v>12</v>
      </c>
      <c r="D416" t="s">
        <v>28</v>
      </c>
      <c r="E416">
        <v>7</v>
      </c>
      <c r="F416">
        <v>80</v>
      </c>
      <c r="G416">
        <v>560</v>
      </c>
      <c r="H416">
        <v>7.0000000000000007E-2</v>
      </c>
      <c r="I416">
        <v>39.200000000000003</v>
      </c>
      <c r="J416" t="s">
        <v>26</v>
      </c>
    </row>
    <row r="417" spans="1:10" x14ac:dyDescent="0.45">
      <c r="A417" t="s">
        <v>477</v>
      </c>
      <c r="B417" t="s">
        <v>116</v>
      </c>
      <c r="C417" t="s">
        <v>35</v>
      </c>
      <c r="D417" t="s">
        <v>17</v>
      </c>
      <c r="E417">
        <v>23</v>
      </c>
      <c r="F417">
        <v>150</v>
      </c>
      <c r="G417">
        <v>3450</v>
      </c>
      <c r="H417">
        <v>0.11</v>
      </c>
      <c r="I417">
        <v>379.5</v>
      </c>
      <c r="J417" t="s">
        <v>29</v>
      </c>
    </row>
    <row r="418" spans="1:10" x14ac:dyDescent="0.45">
      <c r="A418" t="s">
        <v>478</v>
      </c>
      <c r="B418" t="s">
        <v>128</v>
      </c>
      <c r="C418" t="s">
        <v>35</v>
      </c>
      <c r="D418" t="s">
        <v>13</v>
      </c>
      <c r="E418">
        <v>11</v>
      </c>
      <c r="F418">
        <v>150</v>
      </c>
      <c r="G418">
        <v>1650</v>
      </c>
      <c r="H418">
        <v>0.05</v>
      </c>
      <c r="I418">
        <v>82.5</v>
      </c>
      <c r="J418" t="s">
        <v>33</v>
      </c>
    </row>
    <row r="419" spans="1:10" x14ac:dyDescent="0.45">
      <c r="A419" t="s">
        <v>479</v>
      </c>
      <c r="B419" t="s">
        <v>128</v>
      </c>
      <c r="C419" t="s">
        <v>12</v>
      </c>
      <c r="D419" t="s">
        <v>32</v>
      </c>
      <c r="E419">
        <v>16</v>
      </c>
      <c r="F419">
        <v>80</v>
      </c>
      <c r="G419">
        <v>1280</v>
      </c>
      <c r="H419">
        <v>0.05</v>
      </c>
      <c r="I419">
        <v>64</v>
      </c>
      <c r="J419" t="s">
        <v>36</v>
      </c>
    </row>
    <row r="420" spans="1:10" x14ac:dyDescent="0.45">
      <c r="A420" t="s">
        <v>480</v>
      </c>
      <c r="B420" t="s">
        <v>128</v>
      </c>
      <c r="C420" t="s">
        <v>20</v>
      </c>
      <c r="D420" t="s">
        <v>25</v>
      </c>
      <c r="E420">
        <v>5</v>
      </c>
      <c r="F420">
        <v>230</v>
      </c>
      <c r="G420">
        <v>1150</v>
      </c>
      <c r="H420">
        <v>0.1</v>
      </c>
      <c r="I420">
        <v>115</v>
      </c>
      <c r="J420" t="s">
        <v>38</v>
      </c>
    </row>
    <row r="421" spans="1:10" x14ac:dyDescent="0.45">
      <c r="A421" t="s">
        <v>481</v>
      </c>
      <c r="B421" t="s">
        <v>128</v>
      </c>
      <c r="C421" t="s">
        <v>31</v>
      </c>
      <c r="D421" t="s">
        <v>13</v>
      </c>
      <c r="E421">
        <v>22</v>
      </c>
      <c r="F421">
        <v>16</v>
      </c>
      <c r="G421">
        <v>352</v>
      </c>
      <c r="H421">
        <v>0.01</v>
      </c>
      <c r="I421">
        <v>3.52</v>
      </c>
      <c r="J421" t="s">
        <v>40</v>
      </c>
    </row>
    <row r="422" spans="1:10" x14ac:dyDescent="0.45">
      <c r="A422" t="s">
        <v>482</v>
      </c>
      <c r="B422" t="s">
        <v>128</v>
      </c>
      <c r="C422" t="s">
        <v>16</v>
      </c>
      <c r="D422" t="s">
        <v>32</v>
      </c>
      <c r="E422">
        <v>7</v>
      </c>
      <c r="F422">
        <v>40</v>
      </c>
      <c r="G422">
        <v>280</v>
      </c>
      <c r="H422">
        <v>0.12</v>
      </c>
      <c r="I422">
        <v>33.6</v>
      </c>
      <c r="J422" t="s">
        <v>14</v>
      </c>
    </row>
    <row r="423" spans="1:10" x14ac:dyDescent="0.45">
      <c r="A423" t="s">
        <v>483</v>
      </c>
      <c r="B423" t="s">
        <v>128</v>
      </c>
      <c r="C423" t="s">
        <v>12</v>
      </c>
      <c r="D423" t="s">
        <v>17</v>
      </c>
      <c r="E423">
        <v>2</v>
      </c>
      <c r="F423">
        <v>80</v>
      </c>
      <c r="G423">
        <v>160</v>
      </c>
      <c r="H423">
        <v>0.04</v>
      </c>
      <c r="I423">
        <v>6.4</v>
      </c>
      <c r="J423" t="s">
        <v>18</v>
      </c>
    </row>
    <row r="424" spans="1:10" x14ac:dyDescent="0.45">
      <c r="A424" t="s">
        <v>484</v>
      </c>
      <c r="B424" t="s">
        <v>128</v>
      </c>
      <c r="C424" t="s">
        <v>16</v>
      </c>
      <c r="D424" t="s">
        <v>28</v>
      </c>
      <c r="E424">
        <v>6</v>
      </c>
      <c r="F424">
        <v>40</v>
      </c>
      <c r="G424">
        <v>240</v>
      </c>
      <c r="H424">
        <v>7.0000000000000007E-2</v>
      </c>
      <c r="I424">
        <v>16.8</v>
      </c>
      <c r="J424" t="s">
        <v>21</v>
      </c>
    </row>
    <row r="425" spans="1:10" x14ac:dyDescent="0.45">
      <c r="A425" t="s">
        <v>485</v>
      </c>
      <c r="B425" t="s">
        <v>128</v>
      </c>
      <c r="C425" t="s">
        <v>12</v>
      </c>
      <c r="D425" t="s">
        <v>25</v>
      </c>
      <c r="E425">
        <v>6</v>
      </c>
      <c r="F425">
        <v>80</v>
      </c>
      <c r="G425">
        <v>480</v>
      </c>
      <c r="H425">
        <v>0.01</v>
      </c>
      <c r="I425">
        <v>4.8</v>
      </c>
      <c r="J425" t="s">
        <v>23</v>
      </c>
    </row>
    <row r="426" spans="1:10" x14ac:dyDescent="0.45">
      <c r="A426" t="s">
        <v>486</v>
      </c>
      <c r="B426" t="s">
        <v>128</v>
      </c>
      <c r="C426" t="s">
        <v>31</v>
      </c>
      <c r="D426" t="s">
        <v>17</v>
      </c>
      <c r="E426">
        <v>22</v>
      </c>
      <c r="F426">
        <v>16</v>
      </c>
      <c r="G426">
        <v>352</v>
      </c>
      <c r="H426">
        <v>0.01</v>
      </c>
      <c r="I426">
        <v>3.52</v>
      </c>
      <c r="J426" t="s">
        <v>26</v>
      </c>
    </row>
    <row r="427" spans="1:10" x14ac:dyDescent="0.45">
      <c r="A427" t="s">
        <v>487</v>
      </c>
      <c r="B427" t="s">
        <v>128</v>
      </c>
      <c r="C427" t="s">
        <v>20</v>
      </c>
      <c r="D427" t="s">
        <v>28</v>
      </c>
      <c r="E427">
        <v>7</v>
      </c>
      <c r="F427">
        <v>230</v>
      </c>
      <c r="G427">
        <v>1610</v>
      </c>
      <c r="H427">
        <v>0.06</v>
      </c>
      <c r="I427">
        <v>96.6</v>
      </c>
      <c r="J427" t="s">
        <v>29</v>
      </c>
    </row>
    <row r="428" spans="1:10" x14ac:dyDescent="0.45">
      <c r="A428" t="s">
        <v>488</v>
      </c>
      <c r="B428" t="s">
        <v>135</v>
      </c>
      <c r="C428" t="s">
        <v>31</v>
      </c>
      <c r="D428" t="s">
        <v>28</v>
      </c>
      <c r="E428">
        <v>22</v>
      </c>
      <c r="F428">
        <v>16</v>
      </c>
      <c r="G428">
        <v>352</v>
      </c>
      <c r="H428">
        <v>0.03</v>
      </c>
      <c r="I428">
        <v>10.559999999999999</v>
      </c>
      <c r="J428" t="s">
        <v>33</v>
      </c>
    </row>
    <row r="429" spans="1:10" x14ac:dyDescent="0.45">
      <c r="A429" t="s">
        <v>489</v>
      </c>
      <c r="B429" t="s">
        <v>135</v>
      </c>
      <c r="C429" t="s">
        <v>16</v>
      </c>
      <c r="D429" t="s">
        <v>32</v>
      </c>
      <c r="E429">
        <v>20</v>
      </c>
      <c r="F429">
        <v>40</v>
      </c>
      <c r="G429">
        <v>800</v>
      </c>
      <c r="H429">
        <v>0.05</v>
      </c>
      <c r="I429">
        <v>40</v>
      </c>
      <c r="J429" t="s">
        <v>36</v>
      </c>
    </row>
    <row r="430" spans="1:10" x14ac:dyDescent="0.45">
      <c r="A430" t="s">
        <v>490</v>
      </c>
      <c r="B430" t="s">
        <v>135</v>
      </c>
      <c r="C430" t="s">
        <v>16</v>
      </c>
      <c r="D430" t="s">
        <v>17</v>
      </c>
      <c r="E430">
        <v>19</v>
      </c>
      <c r="F430">
        <v>40</v>
      </c>
      <c r="G430">
        <v>760</v>
      </c>
      <c r="H430">
        <v>0.1</v>
      </c>
      <c r="I430">
        <v>76</v>
      </c>
      <c r="J430" t="s">
        <v>38</v>
      </c>
    </row>
    <row r="431" spans="1:10" x14ac:dyDescent="0.45">
      <c r="A431" t="s">
        <v>491</v>
      </c>
      <c r="B431" t="s">
        <v>135</v>
      </c>
      <c r="C431" t="s">
        <v>31</v>
      </c>
      <c r="D431" t="s">
        <v>13</v>
      </c>
      <c r="E431">
        <v>18</v>
      </c>
      <c r="F431">
        <v>16</v>
      </c>
      <c r="G431">
        <v>288</v>
      </c>
      <c r="H431">
        <v>0.05</v>
      </c>
      <c r="I431">
        <v>14.4</v>
      </c>
      <c r="J431" t="s">
        <v>40</v>
      </c>
    </row>
    <row r="432" spans="1:10" x14ac:dyDescent="0.45">
      <c r="A432" t="s">
        <v>492</v>
      </c>
      <c r="B432" t="s">
        <v>135</v>
      </c>
      <c r="C432" t="s">
        <v>16</v>
      </c>
      <c r="D432" t="s">
        <v>25</v>
      </c>
      <c r="E432">
        <v>2</v>
      </c>
      <c r="F432">
        <v>40</v>
      </c>
      <c r="G432">
        <v>80</v>
      </c>
      <c r="H432">
        <v>0.02</v>
      </c>
      <c r="I432">
        <v>1.6</v>
      </c>
      <c r="J432" t="s">
        <v>42</v>
      </c>
    </row>
    <row r="433" spans="1:10" x14ac:dyDescent="0.45">
      <c r="A433" t="s">
        <v>493</v>
      </c>
      <c r="B433" t="s">
        <v>135</v>
      </c>
      <c r="C433" t="s">
        <v>16</v>
      </c>
      <c r="D433" t="s">
        <v>28</v>
      </c>
      <c r="E433">
        <v>7</v>
      </c>
      <c r="F433">
        <v>40</v>
      </c>
      <c r="G433">
        <v>280</v>
      </c>
      <c r="H433">
        <v>7.0000000000000007E-2</v>
      </c>
      <c r="I433">
        <v>19.600000000000001</v>
      </c>
      <c r="J433" t="s">
        <v>45</v>
      </c>
    </row>
    <row r="434" spans="1:10" x14ac:dyDescent="0.45">
      <c r="A434" t="s">
        <v>494</v>
      </c>
      <c r="B434" t="s">
        <v>135</v>
      </c>
      <c r="C434" t="s">
        <v>35</v>
      </c>
      <c r="D434" t="s">
        <v>25</v>
      </c>
      <c r="E434">
        <v>11</v>
      </c>
      <c r="F434">
        <v>150</v>
      </c>
      <c r="G434">
        <v>1650</v>
      </c>
      <c r="H434">
        <v>0.05</v>
      </c>
      <c r="I434">
        <v>82.5</v>
      </c>
      <c r="J434" t="s">
        <v>14</v>
      </c>
    </row>
    <row r="435" spans="1:10" x14ac:dyDescent="0.45">
      <c r="A435" t="s">
        <v>495</v>
      </c>
      <c r="B435" t="s">
        <v>135</v>
      </c>
      <c r="C435" t="s">
        <v>12</v>
      </c>
      <c r="D435" t="s">
        <v>17</v>
      </c>
      <c r="E435">
        <v>14</v>
      </c>
      <c r="F435">
        <v>80</v>
      </c>
      <c r="G435">
        <v>1120</v>
      </c>
      <c r="H435">
        <v>0.11</v>
      </c>
      <c r="I435">
        <v>123.2</v>
      </c>
      <c r="J435" t="s">
        <v>18</v>
      </c>
    </row>
    <row r="436" spans="1:10" x14ac:dyDescent="0.45">
      <c r="A436" t="s">
        <v>496</v>
      </c>
      <c r="B436" t="s">
        <v>135</v>
      </c>
      <c r="C436" t="s">
        <v>16</v>
      </c>
      <c r="D436" t="s">
        <v>32</v>
      </c>
      <c r="E436">
        <v>7</v>
      </c>
      <c r="F436">
        <v>40</v>
      </c>
      <c r="G436">
        <v>280</v>
      </c>
      <c r="H436">
        <v>0.04</v>
      </c>
      <c r="I436">
        <v>11.200000000000001</v>
      </c>
      <c r="J436" t="s">
        <v>21</v>
      </c>
    </row>
    <row r="437" spans="1:10" x14ac:dyDescent="0.45">
      <c r="A437" t="s">
        <v>497</v>
      </c>
      <c r="B437" t="s">
        <v>135</v>
      </c>
      <c r="C437" t="s">
        <v>12</v>
      </c>
      <c r="D437" t="s">
        <v>28</v>
      </c>
      <c r="E437">
        <v>14</v>
      </c>
      <c r="F437">
        <v>80</v>
      </c>
      <c r="G437">
        <v>1120</v>
      </c>
      <c r="H437">
        <v>0.05</v>
      </c>
      <c r="I437">
        <v>56</v>
      </c>
      <c r="J437" t="s">
        <v>23</v>
      </c>
    </row>
    <row r="438" spans="1:10" x14ac:dyDescent="0.45">
      <c r="A438" t="s">
        <v>498</v>
      </c>
      <c r="B438" t="s">
        <v>155</v>
      </c>
      <c r="C438" t="s">
        <v>31</v>
      </c>
      <c r="D438" t="s">
        <v>25</v>
      </c>
      <c r="E438">
        <v>12</v>
      </c>
      <c r="F438">
        <v>16</v>
      </c>
      <c r="G438">
        <v>192</v>
      </c>
      <c r="H438">
        <v>0.11</v>
      </c>
      <c r="I438">
        <v>21.12</v>
      </c>
      <c r="J438" t="s">
        <v>26</v>
      </c>
    </row>
    <row r="439" spans="1:10" x14ac:dyDescent="0.45">
      <c r="A439" t="s">
        <v>499</v>
      </c>
      <c r="B439" t="s">
        <v>155</v>
      </c>
      <c r="C439" t="s">
        <v>16</v>
      </c>
      <c r="D439" t="s">
        <v>32</v>
      </c>
      <c r="E439">
        <v>11</v>
      </c>
      <c r="F439">
        <v>40</v>
      </c>
      <c r="G439">
        <v>440</v>
      </c>
      <c r="H439">
        <v>0.05</v>
      </c>
      <c r="I439">
        <v>22</v>
      </c>
      <c r="J439" t="s">
        <v>29</v>
      </c>
    </row>
    <row r="440" spans="1:10" x14ac:dyDescent="0.45">
      <c r="A440" t="s">
        <v>500</v>
      </c>
      <c r="B440" t="s">
        <v>155</v>
      </c>
      <c r="C440" t="s">
        <v>31</v>
      </c>
      <c r="D440" t="s">
        <v>25</v>
      </c>
      <c r="E440">
        <v>14</v>
      </c>
      <c r="F440">
        <v>16</v>
      </c>
      <c r="G440">
        <v>224</v>
      </c>
      <c r="H440">
        <v>0.01</v>
      </c>
      <c r="I440">
        <v>2.2400000000000002</v>
      </c>
      <c r="J440" t="s">
        <v>33</v>
      </c>
    </row>
    <row r="441" spans="1:10" x14ac:dyDescent="0.45">
      <c r="A441" t="s">
        <v>501</v>
      </c>
      <c r="B441" t="s">
        <v>155</v>
      </c>
      <c r="C441" t="s">
        <v>20</v>
      </c>
      <c r="D441" t="s">
        <v>28</v>
      </c>
      <c r="E441">
        <v>2</v>
      </c>
      <c r="F441">
        <v>230</v>
      </c>
      <c r="G441">
        <v>460</v>
      </c>
      <c r="H441">
        <v>0.08</v>
      </c>
      <c r="I441">
        <v>36.800000000000004</v>
      </c>
      <c r="J441" t="s">
        <v>36</v>
      </c>
    </row>
    <row r="442" spans="1:10" x14ac:dyDescent="0.45">
      <c r="A442" t="s">
        <v>502</v>
      </c>
      <c r="B442" t="s">
        <v>155</v>
      </c>
      <c r="C442" t="s">
        <v>31</v>
      </c>
      <c r="D442" t="s">
        <v>13</v>
      </c>
      <c r="E442">
        <v>20</v>
      </c>
      <c r="F442">
        <v>16</v>
      </c>
      <c r="G442">
        <v>320</v>
      </c>
      <c r="H442">
        <v>0.11</v>
      </c>
      <c r="I442">
        <v>35.200000000000003</v>
      </c>
      <c r="J442" t="s">
        <v>38</v>
      </c>
    </row>
    <row r="443" spans="1:10" x14ac:dyDescent="0.45">
      <c r="A443" t="s">
        <v>503</v>
      </c>
      <c r="B443" t="s">
        <v>155</v>
      </c>
      <c r="C443" t="s">
        <v>31</v>
      </c>
      <c r="D443" t="s">
        <v>25</v>
      </c>
      <c r="E443">
        <v>6</v>
      </c>
      <c r="F443">
        <v>16</v>
      </c>
      <c r="G443">
        <v>96</v>
      </c>
      <c r="H443">
        <v>0.06</v>
      </c>
      <c r="I443">
        <v>5.76</v>
      </c>
      <c r="J443" t="s">
        <v>40</v>
      </c>
    </row>
    <row r="444" spans="1:10" x14ac:dyDescent="0.45">
      <c r="A444" t="s">
        <v>504</v>
      </c>
      <c r="B444" t="s">
        <v>155</v>
      </c>
      <c r="C444" t="s">
        <v>12</v>
      </c>
      <c r="D444" t="s">
        <v>28</v>
      </c>
      <c r="E444">
        <v>17</v>
      </c>
      <c r="F444">
        <v>80</v>
      </c>
      <c r="G444">
        <v>1360</v>
      </c>
      <c r="H444">
        <v>0.05</v>
      </c>
      <c r="I444">
        <v>68</v>
      </c>
      <c r="J444" t="s">
        <v>42</v>
      </c>
    </row>
    <row r="445" spans="1:10" x14ac:dyDescent="0.45">
      <c r="A445" t="s">
        <v>505</v>
      </c>
      <c r="B445" t="s">
        <v>155</v>
      </c>
      <c r="C445" t="s">
        <v>16</v>
      </c>
      <c r="D445" t="s">
        <v>13</v>
      </c>
      <c r="E445">
        <v>2</v>
      </c>
      <c r="F445">
        <v>40</v>
      </c>
      <c r="G445">
        <v>80</v>
      </c>
      <c r="H445">
        <v>0.12</v>
      </c>
      <c r="I445">
        <v>9.6</v>
      </c>
      <c r="J445" t="s">
        <v>45</v>
      </c>
    </row>
    <row r="446" spans="1:10" x14ac:dyDescent="0.45">
      <c r="A446" t="s">
        <v>506</v>
      </c>
      <c r="B446" t="s">
        <v>155</v>
      </c>
      <c r="C446" t="s">
        <v>31</v>
      </c>
      <c r="D446" t="s">
        <v>13</v>
      </c>
      <c r="E446">
        <v>7</v>
      </c>
      <c r="F446">
        <v>16</v>
      </c>
      <c r="G446">
        <v>112</v>
      </c>
      <c r="H446">
        <v>0.12</v>
      </c>
      <c r="I446">
        <v>13.44</v>
      </c>
      <c r="J446" t="s">
        <v>14</v>
      </c>
    </row>
    <row r="447" spans="1:10" x14ac:dyDescent="0.45">
      <c r="A447" t="s">
        <v>507</v>
      </c>
      <c r="B447" t="s">
        <v>155</v>
      </c>
      <c r="C447" t="s">
        <v>35</v>
      </c>
      <c r="D447" t="s">
        <v>13</v>
      </c>
      <c r="E447">
        <v>7</v>
      </c>
      <c r="F447">
        <v>150</v>
      </c>
      <c r="G447">
        <v>1050</v>
      </c>
      <c r="H447">
        <v>0.02</v>
      </c>
      <c r="I447">
        <v>21</v>
      </c>
      <c r="J447" t="s">
        <v>18</v>
      </c>
    </row>
    <row r="448" spans="1:10" x14ac:dyDescent="0.45">
      <c r="A448" t="s">
        <v>508</v>
      </c>
      <c r="B448" t="s">
        <v>155</v>
      </c>
      <c r="C448" t="s">
        <v>12</v>
      </c>
      <c r="D448" t="s">
        <v>13</v>
      </c>
      <c r="E448">
        <v>20</v>
      </c>
      <c r="F448">
        <v>80</v>
      </c>
      <c r="G448">
        <v>1600</v>
      </c>
      <c r="H448">
        <v>0.01</v>
      </c>
      <c r="I448">
        <v>16</v>
      </c>
      <c r="J448" t="s">
        <v>21</v>
      </c>
    </row>
    <row r="449" spans="1:10" x14ac:dyDescent="0.45">
      <c r="A449" t="s">
        <v>509</v>
      </c>
      <c r="B449" t="s">
        <v>155</v>
      </c>
      <c r="C449" t="s">
        <v>12</v>
      </c>
      <c r="D449" t="s">
        <v>28</v>
      </c>
      <c r="E449">
        <v>11</v>
      </c>
      <c r="F449">
        <v>80</v>
      </c>
      <c r="G449">
        <v>880</v>
      </c>
      <c r="H449">
        <v>0.01</v>
      </c>
      <c r="I449">
        <v>8.8000000000000007</v>
      </c>
      <c r="J449" t="s">
        <v>23</v>
      </c>
    </row>
    <row r="450" spans="1:10" x14ac:dyDescent="0.45">
      <c r="A450" t="s">
        <v>510</v>
      </c>
      <c r="B450" t="s">
        <v>155</v>
      </c>
      <c r="C450" t="s">
        <v>12</v>
      </c>
      <c r="D450" t="s">
        <v>25</v>
      </c>
      <c r="E450">
        <v>10</v>
      </c>
      <c r="F450">
        <v>80</v>
      </c>
      <c r="G450">
        <v>800</v>
      </c>
      <c r="H450">
        <v>0.08</v>
      </c>
      <c r="I450">
        <v>64</v>
      </c>
      <c r="J450" t="s">
        <v>26</v>
      </c>
    </row>
    <row r="451" spans="1:10" x14ac:dyDescent="0.45">
      <c r="A451" t="s">
        <v>511</v>
      </c>
      <c r="B451" t="s">
        <v>163</v>
      </c>
      <c r="C451" t="s">
        <v>12</v>
      </c>
      <c r="D451" t="s">
        <v>17</v>
      </c>
      <c r="E451">
        <v>5</v>
      </c>
      <c r="F451">
        <v>80</v>
      </c>
      <c r="G451">
        <v>400</v>
      </c>
      <c r="H451">
        <v>0.04</v>
      </c>
      <c r="I451">
        <v>16</v>
      </c>
      <c r="J451" t="s">
        <v>29</v>
      </c>
    </row>
    <row r="452" spans="1:10" x14ac:dyDescent="0.45">
      <c r="A452" t="s">
        <v>512</v>
      </c>
      <c r="B452" t="s">
        <v>163</v>
      </c>
      <c r="C452" t="s">
        <v>12</v>
      </c>
      <c r="D452" t="s">
        <v>28</v>
      </c>
      <c r="E452">
        <v>4</v>
      </c>
      <c r="F452">
        <v>80</v>
      </c>
      <c r="G452">
        <v>320</v>
      </c>
      <c r="H452">
        <v>0.11</v>
      </c>
      <c r="I452">
        <v>35.200000000000003</v>
      </c>
      <c r="J452" t="s">
        <v>33</v>
      </c>
    </row>
    <row r="453" spans="1:10" x14ac:dyDescent="0.45">
      <c r="A453" t="s">
        <v>513</v>
      </c>
      <c r="B453" t="s">
        <v>163</v>
      </c>
      <c r="C453" t="s">
        <v>31</v>
      </c>
      <c r="D453" t="s">
        <v>25</v>
      </c>
      <c r="E453">
        <v>3</v>
      </c>
      <c r="F453">
        <v>16</v>
      </c>
      <c r="G453">
        <v>48</v>
      </c>
      <c r="H453">
        <v>0.05</v>
      </c>
      <c r="I453">
        <v>2.4000000000000004</v>
      </c>
      <c r="J453" t="s">
        <v>36</v>
      </c>
    </row>
    <row r="454" spans="1:10" x14ac:dyDescent="0.45">
      <c r="A454" t="s">
        <v>514</v>
      </c>
      <c r="B454" t="s">
        <v>163</v>
      </c>
      <c r="C454" t="s">
        <v>12</v>
      </c>
      <c r="D454" t="s">
        <v>13</v>
      </c>
      <c r="E454">
        <v>9</v>
      </c>
      <c r="F454">
        <v>80</v>
      </c>
      <c r="G454">
        <v>720</v>
      </c>
      <c r="H454">
        <v>0.04</v>
      </c>
      <c r="I454">
        <v>28.8</v>
      </c>
      <c r="J454" t="s">
        <v>38</v>
      </c>
    </row>
    <row r="455" spans="1:10" x14ac:dyDescent="0.45">
      <c r="A455" t="s">
        <v>515</v>
      </c>
      <c r="B455" t="s">
        <v>163</v>
      </c>
      <c r="C455" t="s">
        <v>12</v>
      </c>
      <c r="D455" t="s">
        <v>32</v>
      </c>
      <c r="E455">
        <v>16</v>
      </c>
      <c r="F455">
        <v>80</v>
      </c>
      <c r="G455">
        <v>1280</v>
      </c>
      <c r="H455">
        <v>0.09</v>
      </c>
      <c r="I455">
        <v>115.19999999999999</v>
      </c>
      <c r="J455" t="s">
        <v>40</v>
      </c>
    </row>
    <row r="456" spans="1:10" x14ac:dyDescent="0.45">
      <c r="A456" t="s">
        <v>516</v>
      </c>
      <c r="B456" t="s">
        <v>171</v>
      </c>
      <c r="C456" t="s">
        <v>31</v>
      </c>
      <c r="D456" t="s">
        <v>17</v>
      </c>
      <c r="E456">
        <v>7</v>
      </c>
      <c r="F456">
        <v>16</v>
      </c>
      <c r="G456">
        <v>112</v>
      </c>
      <c r="H456">
        <v>0.08</v>
      </c>
      <c r="I456">
        <v>8.9600000000000009</v>
      </c>
      <c r="J456" t="s">
        <v>42</v>
      </c>
    </row>
    <row r="457" spans="1:10" x14ac:dyDescent="0.45">
      <c r="A457" t="s">
        <v>517</v>
      </c>
      <c r="B457" t="s">
        <v>171</v>
      </c>
      <c r="C457" t="s">
        <v>35</v>
      </c>
      <c r="D457" t="s">
        <v>17</v>
      </c>
      <c r="E457">
        <v>16</v>
      </c>
      <c r="F457">
        <v>150</v>
      </c>
      <c r="G457">
        <v>2400</v>
      </c>
      <c r="H457">
        <v>0.05</v>
      </c>
      <c r="I457">
        <v>120</v>
      </c>
      <c r="J457" t="s">
        <v>45</v>
      </c>
    </row>
    <row r="458" spans="1:10" x14ac:dyDescent="0.45">
      <c r="A458" t="s">
        <v>518</v>
      </c>
      <c r="B458" t="s">
        <v>171</v>
      </c>
      <c r="C458" t="s">
        <v>31</v>
      </c>
      <c r="D458" t="s">
        <v>28</v>
      </c>
      <c r="E458">
        <v>10</v>
      </c>
      <c r="F458">
        <v>16</v>
      </c>
      <c r="G458">
        <v>160</v>
      </c>
      <c r="H458">
        <v>0.04</v>
      </c>
      <c r="I458">
        <v>6.4</v>
      </c>
      <c r="J458" t="s">
        <v>14</v>
      </c>
    </row>
    <row r="459" spans="1:10" x14ac:dyDescent="0.45">
      <c r="A459" t="s">
        <v>519</v>
      </c>
      <c r="B459" t="s">
        <v>171</v>
      </c>
      <c r="C459" t="s">
        <v>16</v>
      </c>
      <c r="D459" t="s">
        <v>17</v>
      </c>
      <c r="E459">
        <v>4</v>
      </c>
      <c r="F459">
        <v>40</v>
      </c>
      <c r="G459">
        <v>160</v>
      </c>
      <c r="H459">
        <v>0.03</v>
      </c>
      <c r="I459">
        <v>4.8</v>
      </c>
      <c r="J459" t="s">
        <v>18</v>
      </c>
    </row>
    <row r="460" spans="1:10" x14ac:dyDescent="0.45">
      <c r="A460" t="s">
        <v>520</v>
      </c>
      <c r="B460" t="s">
        <v>171</v>
      </c>
      <c r="C460" t="s">
        <v>16</v>
      </c>
      <c r="D460" t="s">
        <v>17</v>
      </c>
      <c r="E460">
        <v>15</v>
      </c>
      <c r="F460">
        <v>40</v>
      </c>
      <c r="G460">
        <v>600</v>
      </c>
      <c r="H460">
        <v>0.02</v>
      </c>
      <c r="I460">
        <v>12</v>
      </c>
      <c r="J460" t="s">
        <v>21</v>
      </c>
    </row>
    <row r="461" spans="1:10" x14ac:dyDescent="0.45">
      <c r="A461" t="s">
        <v>521</v>
      </c>
      <c r="B461" t="s">
        <v>171</v>
      </c>
      <c r="C461" t="s">
        <v>12</v>
      </c>
      <c r="D461" t="s">
        <v>25</v>
      </c>
      <c r="E461">
        <v>6</v>
      </c>
      <c r="F461">
        <v>80</v>
      </c>
      <c r="G461">
        <v>480</v>
      </c>
      <c r="H461">
        <v>0.09</v>
      </c>
      <c r="I461">
        <v>43.199999999999996</v>
      </c>
      <c r="J461" t="s">
        <v>23</v>
      </c>
    </row>
    <row r="462" spans="1:10" x14ac:dyDescent="0.45">
      <c r="A462" t="s">
        <v>522</v>
      </c>
      <c r="B462" t="s">
        <v>171</v>
      </c>
      <c r="C462" t="s">
        <v>35</v>
      </c>
      <c r="D462" t="s">
        <v>13</v>
      </c>
      <c r="E462">
        <v>20</v>
      </c>
      <c r="F462">
        <v>150</v>
      </c>
      <c r="G462">
        <v>3000</v>
      </c>
      <c r="H462">
        <v>0.01</v>
      </c>
      <c r="I462">
        <v>30</v>
      </c>
      <c r="J462" t="s">
        <v>26</v>
      </c>
    </row>
    <row r="463" spans="1:10" x14ac:dyDescent="0.45">
      <c r="A463" t="s">
        <v>523</v>
      </c>
      <c r="B463" t="s">
        <v>171</v>
      </c>
      <c r="C463" t="s">
        <v>31</v>
      </c>
      <c r="D463" t="s">
        <v>13</v>
      </c>
      <c r="E463">
        <v>7</v>
      </c>
      <c r="F463">
        <v>16</v>
      </c>
      <c r="G463">
        <v>112</v>
      </c>
      <c r="H463">
        <v>0.08</v>
      </c>
      <c r="I463">
        <v>8.9600000000000009</v>
      </c>
      <c r="J463" t="s">
        <v>29</v>
      </c>
    </row>
    <row r="464" spans="1:10" x14ac:dyDescent="0.45">
      <c r="A464" t="s">
        <v>524</v>
      </c>
      <c r="B464" t="s">
        <v>171</v>
      </c>
      <c r="C464" t="s">
        <v>12</v>
      </c>
      <c r="D464" t="s">
        <v>17</v>
      </c>
      <c r="E464">
        <v>2</v>
      </c>
      <c r="F464">
        <v>80</v>
      </c>
      <c r="G464">
        <v>160</v>
      </c>
      <c r="H464">
        <v>7.0000000000000007E-2</v>
      </c>
      <c r="I464">
        <v>11.200000000000001</v>
      </c>
      <c r="J464" t="s">
        <v>33</v>
      </c>
    </row>
    <row r="465" spans="1:10" x14ac:dyDescent="0.45">
      <c r="A465" t="s">
        <v>525</v>
      </c>
      <c r="B465" t="s">
        <v>171</v>
      </c>
      <c r="C465" t="s">
        <v>16</v>
      </c>
      <c r="D465" t="s">
        <v>17</v>
      </c>
      <c r="E465">
        <v>23</v>
      </c>
      <c r="F465">
        <v>40</v>
      </c>
      <c r="G465">
        <v>920</v>
      </c>
      <c r="H465">
        <v>0.06</v>
      </c>
      <c r="I465">
        <v>55.199999999999996</v>
      </c>
      <c r="J465" t="s">
        <v>36</v>
      </c>
    </row>
    <row r="466" spans="1:10" x14ac:dyDescent="0.45">
      <c r="A466" t="s">
        <v>526</v>
      </c>
      <c r="B466" t="s">
        <v>171</v>
      </c>
      <c r="C466" t="s">
        <v>31</v>
      </c>
      <c r="D466" t="s">
        <v>13</v>
      </c>
      <c r="E466">
        <v>12</v>
      </c>
      <c r="F466">
        <v>16</v>
      </c>
      <c r="G466">
        <v>192</v>
      </c>
      <c r="H466">
        <v>0.11</v>
      </c>
      <c r="I466">
        <v>21.12</v>
      </c>
      <c r="J466" t="s">
        <v>38</v>
      </c>
    </row>
    <row r="467" spans="1:10" x14ac:dyDescent="0.45">
      <c r="A467" t="s">
        <v>527</v>
      </c>
      <c r="B467" t="s">
        <v>171</v>
      </c>
      <c r="C467" t="s">
        <v>20</v>
      </c>
      <c r="D467" t="s">
        <v>28</v>
      </c>
      <c r="E467">
        <v>2</v>
      </c>
      <c r="F467">
        <v>230</v>
      </c>
      <c r="G467">
        <v>460</v>
      </c>
      <c r="H467">
        <v>0.09</v>
      </c>
      <c r="I467">
        <v>41.4</v>
      </c>
      <c r="J467" t="s">
        <v>40</v>
      </c>
    </row>
    <row r="468" spans="1:10" x14ac:dyDescent="0.45">
      <c r="A468" t="s">
        <v>528</v>
      </c>
      <c r="B468" t="s">
        <v>171</v>
      </c>
      <c r="C468" t="s">
        <v>35</v>
      </c>
      <c r="D468" t="s">
        <v>13</v>
      </c>
      <c r="E468">
        <v>4</v>
      </c>
      <c r="F468">
        <v>150</v>
      </c>
      <c r="G468">
        <v>600</v>
      </c>
      <c r="H468">
        <v>0.06</v>
      </c>
      <c r="I468">
        <v>36</v>
      </c>
      <c r="J468" t="s">
        <v>42</v>
      </c>
    </row>
    <row r="469" spans="1:10" x14ac:dyDescent="0.45">
      <c r="A469" t="s">
        <v>529</v>
      </c>
      <c r="B469" t="s">
        <v>171</v>
      </c>
      <c r="C469" t="s">
        <v>16</v>
      </c>
      <c r="D469" t="s">
        <v>13</v>
      </c>
      <c r="E469">
        <v>23</v>
      </c>
      <c r="F469">
        <v>40</v>
      </c>
      <c r="G469">
        <v>920</v>
      </c>
      <c r="H469">
        <v>7.0000000000000007E-2</v>
      </c>
      <c r="I469">
        <v>64.400000000000006</v>
      </c>
      <c r="J469" t="s">
        <v>45</v>
      </c>
    </row>
    <row r="470" spans="1:10" x14ac:dyDescent="0.45">
      <c r="A470" t="s">
        <v>530</v>
      </c>
      <c r="B470" t="s">
        <v>171</v>
      </c>
      <c r="C470" t="s">
        <v>31</v>
      </c>
      <c r="D470" t="s">
        <v>32</v>
      </c>
      <c r="E470">
        <v>2</v>
      </c>
      <c r="F470">
        <v>16</v>
      </c>
      <c r="G470">
        <v>32</v>
      </c>
      <c r="H470">
        <v>0.04</v>
      </c>
      <c r="I470">
        <v>1.28</v>
      </c>
      <c r="J470" t="s">
        <v>14</v>
      </c>
    </row>
    <row r="471" spans="1:10" x14ac:dyDescent="0.45">
      <c r="A471" t="s">
        <v>531</v>
      </c>
      <c r="B471" t="s">
        <v>171</v>
      </c>
      <c r="C471" t="s">
        <v>35</v>
      </c>
      <c r="D471" t="s">
        <v>28</v>
      </c>
      <c r="E471">
        <v>7</v>
      </c>
      <c r="F471">
        <v>150</v>
      </c>
      <c r="G471">
        <v>1050</v>
      </c>
      <c r="H471">
        <v>0.05</v>
      </c>
      <c r="I471">
        <v>52.5</v>
      </c>
      <c r="J471" t="s">
        <v>18</v>
      </c>
    </row>
    <row r="472" spans="1:10" x14ac:dyDescent="0.45">
      <c r="A472" t="s">
        <v>532</v>
      </c>
      <c r="B472" t="s">
        <v>182</v>
      </c>
      <c r="C472" t="s">
        <v>16</v>
      </c>
      <c r="D472" t="s">
        <v>13</v>
      </c>
      <c r="E472">
        <v>15</v>
      </c>
      <c r="F472">
        <v>40</v>
      </c>
      <c r="G472">
        <v>600</v>
      </c>
      <c r="H472">
        <v>0.06</v>
      </c>
      <c r="I472">
        <v>36</v>
      </c>
      <c r="J472" t="s">
        <v>21</v>
      </c>
    </row>
    <row r="473" spans="1:10" x14ac:dyDescent="0.45">
      <c r="A473" t="s">
        <v>533</v>
      </c>
      <c r="B473" t="s">
        <v>182</v>
      </c>
      <c r="C473" t="s">
        <v>12</v>
      </c>
      <c r="D473" t="s">
        <v>28</v>
      </c>
      <c r="E473">
        <v>16</v>
      </c>
      <c r="F473">
        <v>80</v>
      </c>
      <c r="G473">
        <v>1280</v>
      </c>
      <c r="H473">
        <v>0.05</v>
      </c>
      <c r="I473">
        <v>64</v>
      </c>
      <c r="J473" t="s">
        <v>23</v>
      </c>
    </row>
    <row r="474" spans="1:10" x14ac:dyDescent="0.45">
      <c r="A474" t="s">
        <v>534</v>
      </c>
      <c r="B474" t="s">
        <v>182</v>
      </c>
      <c r="C474" t="s">
        <v>16</v>
      </c>
      <c r="D474" t="s">
        <v>32</v>
      </c>
      <c r="E474">
        <v>16</v>
      </c>
      <c r="F474">
        <v>40</v>
      </c>
      <c r="G474">
        <v>640</v>
      </c>
      <c r="H474">
        <v>0.11</v>
      </c>
      <c r="I474">
        <v>70.400000000000006</v>
      </c>
      <c r="J474" t="s">
        <v>26</v>
      </c>
    </row>
    <row r="475" spans="1:10" x14ac:dyDescent="0.45">
      <c r="A475" t="s">
        <v>535</v>
      </c>
      <c r="B475" t="s">
        <v>182</v>
      </c>
      <c r="C475" t="s">
        <v>31</v>
      </c>
      <c r="D475" t="s">
        <v>32</v>
      </c>
      <c r="E475">
        <v>23</v>
      </c>
      <c r="F475">
        <v>16</v>
      </c>
      <c r="G475">
        <v>368</v>
      </c>
      <c r="H475">
        <v>0.01</v>
      </c>
      <c r="I475">
        <v>3.68</v>
      </c>
      <c r="J475" t="s">
        <v>29</v>
      </c>
    </row>
    <row r="476" spans="1:10" x14ac:dyDescent="0.45">
      <c r="A476" t="s">
        <v>536</v>
      </c>
      <c r="B476" t="s">
        <v>182</v>
      </c>
      <c r="C476" t="s">
        <v>20</v>
      </c>
      <c r="D476" t="s">
        <v>17</v>
      </c>
      <c r="E476">
        <v>12</v>
      </c>
      <c r="F476">
        <v>230</v>
      </c>
      <c r="G476">
        <v>2760</v>
      </c>
      <c r="H476">
        <v>0.03</v>
      </c>
      <c r="I476">
        <v>82.8</v>
      </c>
      <c r="J476" t="s">
        <v>33</v>
      </c>
    </row>
    <row r="477" spans="1:10" x14ac:dyDescent="0.45">
      <c r="A477" t="s">
        <v>537</v>
      </c>
      <c r="B477" t="s">
        <v>182</v>
      </c>
      <c r="C477" t="s">
        <v>31</v>
      </c>
      <c r="D477" t="s">
        <v>13</v>
      </c>
      <c r="E477">
        <v>4</v>
      </c>
      <c r="F477">
        <v>16</v>
      </c>
      <c r="G477">
        <v>64</v>
      </c>
      <c r="H477">
        <v>0.12</v>
      </c>
      <c r="I477">
        <v>7.68</v>
      </c>
      <c r="J477" t="s">
        <v>36</v>
      </c>
    </row>
    <row r="478" spans="1:10" x14ac:dyDescent="0.45">
      <c r="A478" t="s">
        <v>538</v>
      </c>
      <c r="B478" t="s">
        <v>182</v>
      </c>
      <c r="C478" t="s">
        <v>35</v>
      </c>
      <c r="D478" t="s">
        <v>28</v>
      </c>
      <c r="E478">
        <v>3</v>
      </c>
      <c r="F478">
        <v>150</v>
      </c>
      <c r="G478">
        <v>450</v>
      </c>
      <c r="H478">
        <v>0.01</v>
      </c>
      <c r="I478">
        <v>4.5</v>
      </c>
      <c r="J478" t="s">
        <v>38</v>
      </c>
    </row>
    <row r="479" spans="1:10" x14ac:dyDescent="0.45">
      <c r="A479" t="s">
        <v>539</v>
      </c>
      <c r="B479" t="s">
        <v>182</v>
      </c>
      <c r="C479" t="s">
        <v>35</v>
      </c>
      <c r="D479" t="s">
        <v>17</v>
      </c>
      <c r="E479">
        <v>10</v>
      </c>
      <c r="F479">
        <v>150</v>
      </c>
      <c r="G479">
        <v>1500</v>
      </c>
      <c r="H479">
        <v>0.01</v>
      </c>
      <c r="I479">
        <v>15</v>
      </c>
      <c r="J479" t="s">
        <v>40</v>
      </c>
    </row>
    <row r="480" spans="1:10" x14ac:dyDescent="0.45">
      <c r="A480" t="s">
        <v>540</v>
      </c>
      <c r="B480" t="s">
        <v>182</v>
      </c>
      <c r="C480" t="s">
        <v>12</v>
      </c>
      <c r="D480" t="s">
        <v>17</v>
      </c>
      <c r="E480">
        <v>13</v>
      </c>
      <c r="F480">
        <v>80</v>
      </c>
      <c r="G480">
        <v>1040</v>
      </c>
      <c r="H480">
        <v>0.06</v>
      </c>
      <c r="I480">
        <v>62.4</v>
      </c>
      <c r="J480" t="s">
        <v>42</v>
      </c>
    </row>
    <row r="481" spans="1:10" x14ac:dyDescent="0.45">
      <c r="A481" t="s">
        <v>541</v>
      </c>
      <c r="B481" t="s">
        <v>182</v>
      </c>
      <c r="C481" t="s">
        <v>20</v>
      </c>
      <c r="D481" t="s">
        <v>25</v>
      </c>
      <c r="E481">
        <v>15</v>
      </c>
      <c r="F481">
        <v>230</v>
      </c>
      <c r="G481">
        <v>3450</v>
      </c>
      <c r="H481">
        <v>0.04</v>
      </c>
      <c r="I481">
        <v>138</v>
      </c>
      <c r="J481" t="s">
        <v>45</v>
      </c>
    </row>
    <row r="482" spans="1:10" x14ac:dyDescent="0.45">
      <c r="A482" t="s">
        <v>542</v>
      </c>
      <c r="B482" t="s">
        <v>182</v>
      </c>
      <c r="C482" t="s">
        <v>35</v>
      </c>
      <c r="D482" t="s">
        <v>13</v>
      </c>
      <c r="E482">
        <v>23</v>
      </c>
      <c r="F482">
        <v>150</v>
      </c>
      <c r="G482">
        <v>3450</v>
      </c>
      <c r="H482">
        <v>0.1</v>
      </c>
      <c r="I482">
        <v>345</v>
      </c>
      <c r="J482" t="s">
        <v>14</v>
      </c>
    </row>
    <row r="483" spans="1:10" x14ac:dyDescent="0.45">
      <c r="A483" t="s">
        <v>543</v>
      </c>
      <c r="B483" t="s">
        <v>182</v>
      </c>
      <c r="C483" t="s">
        <v>35</v>
      </c>
      <c r="D483" t="s">
        <v>17</v>
      </c>
      <c r="E483">
        <v>15</v>
      </c>
      <c r="F483">
        <v>150</v>
      </c>
      <c r="G483">
        <v>2250</v>
      </c>
      <c r="H483">
        <v>0.12</v>
      </c>
      <c r="I483">
        <v>270</v>
      </c>
      <c r="J483" t="s">
        <v>18</v>
      </c>
    </row>
    <row r="484" spans="1:10" x14ac:dyDescent="0.45">
      <c r="A484" t="s">
        <v>544</v>
      </c>
      <c r="B484" t="s">
        <v>182</v>
      </c>
      <c r="C484" t="s">
        <v>35</v>
      </c>
      <c r="D484" t="s">
        <v>25</v>
      </c>
      <c r="E484">
        <v>20</v>
      </c>
      <c r="F484">
        <v>150</v>
      </c>
      <c r="G484">
        <v>3000</v>
      </c>
      <c r="H484">
        <v>0.12</v>
      </c>
      <c r="I484">
        <v>360</v>
      </c>
      <c r="J484" t="s">
        <v>21</v>
      </c>
    </row>
    <row r="485" spans="1:10" x14ac:dyDescent="0.45">
      <c r="A485" t="s">
        <v>545</v>
      </c>
      <c r="B485" t="s">
        <v>182</v>
      </c>
      <c r="C485" t="s">
        <v>16</v>
      </c>
      <c r="D485" t="s">
        <v>28</v>
      </c>
      <c r="E485">
        <v>13</v>
      </c>
      <c r="F485">
        <v>40</v>
      </c>
      <c r="G485">
        <v>520</v>
      </c>
      <c r="H485">
        <v>0.09</v>
      </c>
      <c r="I485">
        <v>46.8</v>
      </c>
      <c r="J485" t="s">
        <v>23</v>
      </c>
    </row>
    <row r="486" spans="1:10" x14ac:dyDescent="0.45">
      <c r="A486" t="s">
        <v>546</v>
      </c>
      <c r="B486" t="s">
        <v>194</v>
      </c>
      <c r="C486" t="s">
        <v>31</v>
      </c>
      <c r="D486" t="s">
        <v>25</v>
      </c>
      <c r="E486">
        <v>11</v>
      </c>
      <c r="F486">
        <v>16</v>
      </c>
      <c r="G486">
        <v>176</v>
      </c>
      <c r="H486">
        <v>0.04</v>
      </c>
      <c r="I486">
        <v>7.04</v>
      </c>
      <c r="J486" t="s">
        <v>26</v>
      </c>
    </row>
    <row r="487" spans="1:10" x14ac:dyDescent="0.45">
      <c r="A487" t="s">
        <v>547</v>
      </c>
      <c r="B487" t="s">
        <v>194</v>
      </c>
      <c r="C487" t="s">
        <v>35</v>
      </c>
      <c r="D487" t="s">
        <v>25</v>
      </c>
      <c r="E487">
        <v>20</v>
      </c>
      <c r="F487">
        <v>150</v>
      </c>
      <c r="G487">
        <v>3000</v>
      </c>
      <c r="H487">
        <v>0.04</v>
      </c>
      <c r="I487">
        <v>120</v>
      </c>
      <c r="J487" t="s">
        <v>29</v>
      </c>
    </row>
    <row r="488" spans="1:10" x14ac:dyDescent="0.45">
      <c r="A488" t="s">
        <v>548</v>
      </c>
      <c r="B488" t="s">
        <v>194</v>
      </c>
      <c r="C488" t="s">
        <v>16</v>
      </c>
      <c r="D488" t="s">
        <v>13</v>
      </c>
      <c r="E488">
        <v>18</v>
      </c>
      <c r="F488">
        <v>40</v>
      </c>
      <c r="G488">
        <v>720</v>
      </c>
      <c r="H488">
        <v>0.11</v>
      </c>
      <c r="I488">
        <v>79.2</v>
      </c>
      <c r="J488" t="s">
        <v>33</v>
      </c>
    </row>
    <row r="489" spans="1:10" x14ac:dyDescent="0.45">
      <c r="A489" t="s">
        <v>549</v>
      </c>
      <c r="B489" t="s">
        <v>194</v>
      </c>
      <c r="C489" t="s">
        <v>16</v>
      </c>
      <c r="D489" t="s">
        <v>25</v>
      </c>
      <c r="E489">
        <v>2</v>
      </c>
      <c r="F489">
        <v>40</v>
      </c>
      <c r="G489">
        <v>80</v>
      </c>
      <c r="H489">
        <v>0.03</v>
      </c>
      <c r="I489">
        <v>2.4</v>
      </c>
      <c r="J489" t="s">
        <v>36</v>
      </c>
    </row>
    <row r="490" spans="1:10" x14ac:dyDescent="0.45">
      <c r="A490" t="s">
        <v>550</v>
      </c>
      <c r="B490" t="s">
        <v>194</v>
      </c>
      <c r="C490" t="s">
        <v>31</v>
      </c>
      <c r="D490" t="s">
        <v>28</v>
      </c>
      <c r="E490">
        <v>15</v>
      </c>
      <c r="F490">
        <v>16</v>
      </c>
      <c r="G490">
        <v>240</v>
      </c>
      <c r="H490">
        <v>0.12</v>
      </c>
      <c r="I490">
        <v>28.799999999999997</v>
      </c>
      <c r="J490" t="s">
        <v>38</v>
      </c>
    </row>
    <row r="491" spans="1:10" x14ac:dyDescent="0.45">
      <c r="A491" t="s">
        <v>551</v>
      </c>
      <c r="B491" t="s">
        <v>194</v>
      </c>
      <c r="C491" t="s">
        <v>31</v>
      </c>
      <c r="D491" t="s">
        <v>25</v>
      </c>
      <c r="E491">
        <v>9</v>
      </c>
      <c r="F491">
        <v>16</v>
      </c>
      <c r="G491">
        <v>144</v>
      </c>
      <c r="H491">
        <v>0.05</v>
      </c>
      <c r="I491">
        <v>7.2</v>
      </c>
      <c r="J491" t="s">
        <v>40</v>
      </c>
    </row>
    <row r="492" spans="1:10" x14ac:dyDescent="0.45">
      <c r="A492" t="s">
        <v>552</v>
      </c>
      <c r="B492" t="s">
        <v>194</v>
      </c>
      <c r="C492" t="s">
        <v>16</v>
      </c>
      <c r="D492" t="s">
        <v>32</v>
      </c>
      <c r="E492">
        <v>7</v>
      </c>
      <c r="F492">
        <v>40</v>
      </c>
      <c r="G492">
        <v>280</v>
      </c>
      <c r="H492">
        <v>0.05</v>
      </c>
      <c r="I492">
        <v>14</v>
      </c>
      <c r="J492" t="s">
        <v>14</v>
      </c>
    </row>
    <row r="493" spans="1:10" x14ac:dyDescent="0.45">
      <c r="A493" t="s">
        <v>553</v>
      </c>
      <c r="B493" t="s">
        <v>194</v>
      </c>
      <c r="C493" t="s">
        <v>35</v>
      </c>
      <c r="D493" t="s">
        <v>32</v>
      </c>
      <c r="E493">
        <v>4</v>
      </c>
      <c r="F493">
        <v>150</v>
      </c>
      <c r="G493">
        <v>600</v>
      </c>
      <c r="H493">
        <v>0.05</v>
      </c>
      <c r="I493">
        <v>30</v>
      </c>
      <c r="J493" t="s">
        <v>18</v>
      </c>
    </row>
    <row r="494" spans="1:10" x14ac:dyDescent="0.45">
      <c r="A494" t="s">
        <v>554</v>
      </c>
      <c r="B494" t="s">
        <v>194</v>
      </c>
      <c r="C494" t="s">
        <v>20</v>
      </c>
      <c r="D494" t="s">
        <v>13</v>
      </c>
      <c r="E494">
        <v>15</v>
      </c>
      <c r="F494">
        <v>230</v>
      </c>
      <c r="G494">
        <v>3450</v>
      </c>
      <c r="H494">
        <v>0.05</v>
      </c>
      <c r="I494">
        <v>172.5</v>
      </c>
      <c r="J494" t="s">
        <v>21</v>
      </c>
    </row>
    <row r="495" spans="1:10" x14ac:dyDescent="0.45">
      <c r="A495" t="s">
        <v>555</v>
      </c>
      <c r="B495" t="s">
        <v>210</v>
      </c>
      <c r="C495" t="s">
        <v>16</v>
      </c>
      <c r="D495" t="s">
        <v>17</v>
      </c>
      <c r="E495">
        <v>12</v>
      </c>
      <c r="F495">
        <v>40</v>
      </c>
      <c r="G495">
        <v>480</v>
      </c>
      <c r="H495">
        <v>0.1</v>
      </c>
      <c r="I495">
        <v>48</v>
      </c>
      <c r="J495" t="s">
        <v>23</v>
      </c>
    </row>
    <row r="496" spans="1:10" x14ac:dyDescent="0.45">
      <c r="A496" t="s">
        <v>556</v>
      </c>
      <c r="B496" t="s">
        <v>210</v>
      </c>
      <c r="C496" t="s">
        <v>20</v>
      </c>
      <c r="D496" t="s">
        <v>28</v>
      </c>
      <c r="E496">
        <v>23</v>
      </c>
      <c r="F496">
        <v>230</v>
      </c>
      <c r="G496">
        <v>5290</v>
      </c>
      <c r="H496">
        <v>0.06</v>
      </c>
      <c r="I496">
        <v>317.39999999999998</v>
      </c>
      <c r="J496" t="s">
        <v>26</v>
      </c>
    </row>
    <row r="497" spans="1:10" x14ac:dyDescent="0.45">
      <c r="A497" t="s">
        <v>557</v>
      </c>
      <c r="B497" t="s">
        <v>210</v>
      </c>
      <c r="C497" t="s">
        <v>31</v>
      </c>
      <c r="D497" t="s">
        <v>13</v>
      </c>
      <c r="E497">
        <v>11</v>
      </c>
      <c r="F497">
        <v>16</v>
      </c>
      <c r="G497">
        <v>176</v>
      </c>
      <c r="H497">
        <v>0.09</v>
      </c>
      <c r="I497">
        <v>15.84</v>
      </c>
      <c r="J497" t="s">
        <v>29</v>
      </c>
    </row>
    <row r="498" spans="1:10" x14ac:dyDescent="0.45">
      <c r="A498" t="s">
        <v>558</v>
      </c>
      <c r="B498" t="s">
        <v>210</v>
      </c>
      <c r="C498" t="s">
        <v>35</v>
      </c>
      <c r="D498" t="s">
        <v>13</v>
      </c>
      <c r="E498">
        <v>9</v>
      </c>
      <c r="F498">
        <v>150</v>
      </c>
      <c r="G498">
        <v>1350</v>
      </c>
      <c r="H498">
        <v>0.1</v>
      </c>
      <c r="I498">
        <v>135</v>
      </c>
      <c r="J498" t="s">
        <v>33</v>
      </c>
    </row>
    <row r="499" spans="1:10" x14ac:dyDescent="0.45">
      <c r="A499" t="s">
        <v>559</v>
      </c>
      <c r="B499" t="s">
        <v>210</v>
      </c>
      <c r="C499" t="s">
        <v>12</v>
      </c>
      <c r="D499" t="s">
        <v>13</v>
      </c>
      <c r="E499">
        <v>18</v>
      </c>
      <c r="F499">
        <v>80</v>
      </c>
      <c r="G499">
        <v>1440</v>
      </c>
      <c r="H499">
        <v>0.02</v>
      </c>
      <c r="I499">
        <v>28.8</v>
      </c>
      <c r="J499" t="s">
        <v>36</v>
      </c>
    </row>
    <row r="500" spans="1:10" x14ac:dyDescent="0.45">
      <c r="A500" t="s">
        <v>560</v>
      </c>
      <c r="B500" t="s">
        <v>210</v>
      </c>
      <c r="C500" t="s">
        <v>16</v>
      </c>
      <c r="D500" t="s">
        <v>32</v>
      </c>
      <c r="E500">
        <v>23</v>
      </c>
      <c r="F500">
        <v>40</v>
      </c>
      <c r="G500">
        <v>920</v>
      </c>
      <c r="H500">
        <v>0.04</v>
      </c>
      <c r="I500">
        <v>36.800000000000004</v>
      </c>
      <c r="J500" t="s">
        <v>38</v>
      </c>
    </row>
    <row r="501" spans="1:10" x14ac:dyDescent="0.45">
      <c r="A501" t="s">
        <v>561</v>
      </c>
      <c r="B501" t="s">
        <v>210</v>
      </c>
      <c r="C501" t="s">
        <v>31</v>
      </c>
      <c r="D501" t="s">
        <v>32</v>
      </c>
      <c r="E501">
        <v>17</v>
      </c>
      <c r="F501">
        <v>16</v>
      </c>
      <c r="G501">
        <v>272</v>
      </c>
      <c r="H501">
        <v>0.1</v>
      </c>
      <c r="I501">
        <v>27.200000000000003</v>
      </c>
      <c r="J501" t="s">
        <v>40</v>
      </c>
    </row>
    <row r="502" spans="1:10" x14ac:dyDescent="0.45">
      <c r="A502" t="s">
        <v>562</v>
      </c>
      <c r="B502" t="s">
        <v>210</v>
      </c>
      <c r="C502" t="s">
        <v>35</v>
      </c>
      <c r="D502" t="s">
        <v>32</v>
      </c>
      <c r="E502">
        <v>17</v>
      </c>
      <c r="F502">
        <v>150</v>
      </c>
      <c r="G502">
        <v>2550</v>
      </c>
      <c r="H502">
        <v>0.02</v>
      </c>
      <c r="I502">
        <v>51</v>
      </c>
      <c r="J502" t="s">
        <v>42</v>
      </c>
    </row>
    <row r="503" spans="1:10" x14ac:dyDescent="0.45">
      <c r="A503" t="s">
        <v>563</v>
      </c>
      <c r="B503" t="s">
        <v>210</v>
      </c>
      <c r="C503" t="s">
        <v>12</v>
      </c>
      <c r="D503" t="s">
        <v>28</v>
      </c>
      <c r="E503">
        <v>21</v>
      </c>
      <c r="F503">
        <v>80</v>
      </c>
      <c r="G503">
        <v>1680</v>
      </c>
      <c r="H503">
        <v>0.02</v>
      </c>
      <c r="I503">
        <v>33.6</v>
      </c>
      <c r="J503" t="s">
        <v>45</v>
      </c>
    </row>
    <row r="504" spans="1:10" x14ac:dyDescent="0.45">
      <c r="A504" t="s">
        <v>564</v>
      </c>
      <c r="B504" t="s">
        <v>210</v>
      </c>
      <c r="C504" t="s">
        <v>16</v>
      </c>
      <c r="D504" t="s">
        <v>28</v>
      </c>
      <c r="E504">
        <v>11</v>
      </c>
      <c r="F504">
        <v>40</v>
      </c>
      <c r="G504">
        <v>440</v>
      </c>
      <c r="H504">
        <v>0.06</v>
      </c>
      <c r="I504">
        <v>26.4</v>
      </c>
      <c r="J504" t="s">
        <v>14</v>
      </c>
    </row>
    <row r="505" spans="1:10" x14ac:dyDescent="0.45">
      <c r="A505" t="s">
        <v>565</v>
      </c>
      <c r="B505" t="s">
        <v>210</v>
      </c>
      <c r="C505" t="s">
        <v>16</v>
      </c>
      <c r="D505" t="s">
        <v>13</v>
      </c>
      <c r="E505">
        <v>19</v>
      </c>
      <c r="F505">
        <v>40</v>
      </c>
      <c r="G505">
        <v>760</v>
      </c>
      <c r="H505">
        <v>0.04</v>
      </c>
      <c r="I505">
        <v>30.400000000000002</v>
      </c>
      <c r="J505" t="s">
        <v>18</v>
      </c>
    </row>
    <row r="506" spans="1:10" x14ac:dyDescent="0.45">
      <c r="A506" t="s">
        <v>566</v>
      </c>
      <c r="B506" t="s">
        <v>210</v>
      </c>
      <c r="C506" t="s">
        <v>16</v>
      </c>
      <c r="D506" t="s">
        <v>13</v>
      </c>
      <c r="E506">
        <v>23</v>
      </c>
      <c r="F506">
        <v>40</v>
      </c>
      <c r="G506">
        <v>920</v>
      </c>
      <c r="H506">
        <v>0.03</v>
      </c>
      <c r="I506">
        <v>27.599999999999998</v>
      </c>
      <c r="J506" t="s">
        <v>21</v>
      </c>
    </row>
    <row r="507" spans="1:10" x14ac:dyDescent="0.45">
      <c r="A507" t="s">
        <v>567</v>
      </c>
      <c r="B507" t="s">
        <v>210</v>
      </c>
      <c r="C507" t="s">
        <v>20</v>
      </c>
      <c r="D507" t="s">
        <v>17</v>
      </c>
      <c r="E507">
        <v>14</v>
      </c>
      <c r="F507">
        <v>230</v>
      </c>
      <c r="G507">
        <v>3220</v>
      </c>
      <c r="H507">
        <v>0.05</v>
      </c>
      <c r="I507">
        <v>161</v>
      </c>
      <c r="J507" t="s">
        <v>23</v>
      </c>
    </row>
    <row r="508" spans="1:10" x14ac:dyDescent="0.45">
      <c r="A508" t="s">
        <v>568</v>
      </c>
      <c r="B508" t="s">
        <v>210</v>
      </c>
      <c r="C508" t="s">
        <v>16</v>
      </c>
      <c r="D508" t="s">
        <v>25</v>
      </c>
      <c r="E508">
        <v>18</v>
      </c>
      <c r="F508">
        <v>40</v>
      </c>
      <c r="G508">
        <v>720</v>
      </c>
      <c r="H508">
        <v>0.03</v>
      </c>
      <c r="I508">
        <v>21.599999999999998</v>
      </c>
      <c r="J508" t="s">
        <v>26</v>
      </c>
    </row>
    <row r="509" spans="1:10" x14ac:dyDescent="0.45">
      <c r="A509" t="s">
        <v>569</v>
      </c>
      <c r="B509" t="s">
        <v>210</v>
      </c>
      <c r="C509" t="s">
        <v>35</v>
      </c>
      <c r="D509" t="s">
        <v>17</v>
      </c>
      <c r="E509">
        <v>2</v>
      </c>
      <c r="F509">
        <v>150</v>
      </c>
      <c r="G509">
        <v>300</v>
      </c>
      <c r="H509">
        <v>0.09</v>
      </c>
      <c r="I509">
        <v>27</v>
      </c>
      <c r="J509" t="s">
        <v>29</v>
      </c>
    </row>
    <row r="510" spans="1:10" x14ac:dyDescent="0.45">
      <c r="A510" t="s">
        <v>570</v>
      </c>
      <c r="B510" t="s">
        <v>210</v>
      </c>
      <c r="C510" t="s">
        <v>20</v>
      </c>
      <c r="D510" t="s">
        <v>17</v>
      </c>
      <c r="E510">
        <v>7</v>
      </c>
      <c r="F510">
        <v>230</v>
      </c>
      <c r="G510">
        <v>1610</v>
      </c>
      <c r="H510">
        <v>0.05</v>
      </c>
      <c r="I510">
        <v>80.5</v>
      </c>
      <c r="J510" t="s">
        <v>33</v>
      </c>
    </row>
    <row r="511" spans="1:10" x14ac:dyDescent="0.45">
      <c r="A511" t="s">
        <v>571</v>
      </c>
      <c r="B511" t="s">
        <v>222</v>
      </c>
      <c r="C511" t="s">
        <v>35</v>
      </c>
      <c r="D511" t="s">
        <v>25</v>
      </c>
      <c r="E511">
        <v>9</v>
      </c>
      <c r="F511">
        <v>150</v>
      </c>
      <c r="G511">
        <v>1350</v>
      </c>
      <c r="H511">
        <v>0.02</v>
      </c>
      <c r="I511">
        <v>27</v>
      </c>
      <c r="J511" t="s">
        <v>36</v>
      </c>
    </row>
    <row r="512" spans="1:10" x14ac:dyDescent="0.45">
      <c r="A512" t="s">
        <v>572</v>
      </c>
      <c r="B512" t="s">
        <v>222</v>
      </c>
      <c r="C512" t="s">
        <v>16</v>
      </c>
      <c r="D512" t="s">
        <v>32</v>
      </c>
      <c r="E512">
        <v>3</v>
      </c>
      <c r="F512">
        <v>40</v>
      </c>
      <c r="G512">
        <v>120</v>
      </c>
      <c r="H512">
        <v>0.03</v>
      </c>
      <c r="I512">
        <v>3.5999999999999996</v>
      </c>
      <c r="J512" t="s">
        <v>38</v>
      </c>
    </row>
    <row r="513" spans="1:10" x14ac:dyDescent="0.45">
      <c r="A513" t="s">
        <v>573</v>
      </c>
      <c r="B513" t="s">
        <v>222</v>
      </c>
      <c r="C513" t="s">
        <v>12</v>
      </c>
      <c r="D513" t="s">
        <v>28</v>
      </c>
      <c r="E513">
        <v>2</v>
      </c>
      <c r="F513">
        <v>80</v>
      </c>
      <c r="G513">
        <v>160</v>
      </c>
      <c r="H513">
        <v>0.08</v>
      </c>
      <c r="I513">
        <v>12.8</v>
      </c>
      <c r="J513" t="s">
        <v>40</v>
      </c>
    </row>
    <row r="514" spans="1:10" x14ac:dyDescent="0.45">
      <c r="A514" t="s">
        <v>574</v>
      </c>
      <c r="B514" t="s">
        <v>222</v>
      </c>
      <c r="C514" t="s">
        <v>31</v>
      </c>
      <c r="D514" t="s">
        <v>32</v>
      </c>
      <c r="E514">
        <v>19</v>
      </c>
      <c r="F514">
        <v>16</v>
      </c>
      <c r="G514">
        <v>304</v>
      </c>
      <c r="H514">
        <v>0.02</v>
      </c>
      <c r="I514">
        <v>6.08</v>
      </c>
      <c r="J514" t="s">
        <v>42</v>
      </c>
    </row>
    <row r="515" spans="1:10" x14ac:dyDescent="0.45">
      <c r="A515" t="s">
        <v>575</v>
      </c>
      <c r="B515" t="s">
        <v>222</v>
      </c>
      <c r="C515" t="s">
        <v>31</v>
      </c>
      <c r="D515" t="s">
        <v>17</v>
      </c>
      <c r="E515">
        <v>21</v>
      </c>
      <c r="F515">
        <v>16</v>
      </c>
      <c r="G515">
        <v>336</v>
      </c>
      <c r="H515">
        <v>0.02</v>
      </c>
      <c r="I515">
        <v>6.72</v>
      </c>
      <c r="J515" t="s">
        <v>45</v>
      </c>
    </row>
    <row r="516" spans="1:10" x14ac:dyDescent="0.45">
      <c r="A516" t="s">
        <v>576</v>
      </c>
      <c r="B516" t="s">
        <v>222</v>
      </c>
      <c r="C516" t="s">
        <v>12</v>
      </c>
      <c r="D516" t="s">
        <v>28</v>
      </c>
      <c r="E516">
        <v>21</v>
      </c>
      <c r="F516">
        <v>80</v>
      </c>
      <c r="G516">
        <v>1680</v>
      </c>
      <c r="H516">
        <v>0.05</v>
      </c>
      <c r="I516">
        <v>84</v>
      </c>
      <c r="J516" t="s">
        <v>14</v>
      </c>
    </row>
    <row r="517" spans="1:10" x14ac:dyDescent="0.45">
      <c r="A517" t="s">
        <v>577</v>
      </c>
      <c r="B517" t="s">
        <v>222</v>
      </c>
      <c r="C517" t="s">
        <v>20</v>
      </c>
      <c r="D517" t="s">
        <v>32</v>
      </c>
      <c r="E517">
        <v>3</v>
      </c>
      <c r="F517">
        <v>230</v>
      </c>
      <c r="G517">
        <v>690</v>
      </c>
      <c r="H517">
        <v>0.1</v>
      </c>
      <c r="I517">
        <v>69</v>
      </c>
      <c r="J517" t="s">
        <v>18</v>
      </c>
    </row>
    <row r="518" spans="1:10" x14ac:dyDescent="0.45">
      <c r="A518" t="s">
        <v>578</v>
      </c>
      <c r="B518" t="s">
        <v>222</v>
      </c>
      <c r="C518" t="s">
        <v>16</v>
      </c>
      <c r="D518" t="s">
        <v>25</v>
      </c>
      <c r="E518">
        <v>4</v>
      </c>
      <c r="F518">
        <v>40</v>
      </c>
      <c r="G518">
        <v>160</v>
      </c>
      <c r="H518">
        <v>0.11</v>
      </c>
      <c r="I518">
        <v>17.600000000000001</v>
      </c>
      <c r="J518" t="s">
        <v>21</v>
      </c>
    </row>
    <row r="519" spans="1:10" x14ac:dyDescent="0.45">
      <c r="A519" t="s">
        <v>579</v>
      </c>
      <c r="B519" t="s">
        <v>222</v>
      </c>
      <c r="C519" t="s">
        <v>35</v>
      </c>
      <c r="D519" t="s">
        <v>32</v>
      </c>
      <c r="E519">
        <v>7</v>
      </c>
      <c r="F519">
        <v>150</v>
      </c>
      <c r="G519">
        <v>1050</v>
      </c>
      <c r="H519">
        <v>0.03</v>
      </c>
      <c r="I519">
        <v>31.5</v>
      </c>
      <c r="J519" t="s">
        <v>23</v>
      </c>
    </row>
    <row r="520" spans="1:10" x14ac:dyDescent="0.45">
      <c r="A520" t="s">
        <v>580</v>
      </c>
      <c r="B520" t="s">
        <v>222</v>
      </c>
      <c r="C520" t="s">
        <v>31</v>
      </c>
      <c r="D520" t="s">
        <v>25</v>
      </c>
      <c r="E520">
        <v>11</v>
      </c>
      <c r="F520">
        <v>16</v>
      </c>
      <c r="G520">
        <v>176</v>
      </c>
      <c r="H520">
        <v>0.12</v>
      </c>
      <c r="I520">
        <v>21.119999999999997</v>
      </c>
      <c r="J520" t="s">
        <v>26</v>
      </c>
    </row>
    <row r="521" spans="1:10" x14ac:dyDescent="0.45">
      <c r="A521" t="s">
        <v>581</v>
      </c>
      <c r="B521" t="s">
        <v>222</v>
      </c>
      <c r="C521" t="s">
        <v>12</v>
      </c>
      <c r="D521" t="s">
        <v>13</v>
      </c>
      <c r="E521">
        <v>17</v>
      </c>
      <c r="F521">
        <v>80</v>
      </c>
      <c r="G521">
        <v>1360</v>
      </c>
      <c r="H521">
        <v>7.0000000000000007E-2</v>
      </c>
      <c r="I521">
        <v>95.2</v>
      </c>
      <c r="J521" t="s">
        <v>29</v>
      </c>
    </row>
    <row r="522" spans="1:10" x14ac:dyDescent="0.45">
      <c r="A522" t="s">
        <v>582</v>
      </c>
      <c r="B522" t="s">
        <v>222</v>
      </c>
      <c r="C522" t="s">
        <v>31</v>
      </c>
      <c r="D522" t="s">
        <v>28</v>
      </c>
      <c r="E522">
        <v>5</v>
      </c>
      <c r="F522">
        <v>16</v>
      </c>
      <c r="G522">
        <v>80</v>
      </c>
      <c r="H522">
        <v>0.09</v>
      </c>
      <c r="I522">
        <v>7.1999999999999993</v>
      </c>
      <c r="J522" t="s">
        <v>33</v>
      </c>
    </row>
    <row r="523" spans="1:10" x14ac:dyDescent="0.45">
      <c r="A523" t="s">
        <v>583</v>
      </c>
      <c r="B523" t="s">
        <v>222</v>
      </c>
      <c r="C523" t="s">
        <v>31</v>
      </c>
      <c r="D523" t="s">
        <v>32</v>
      </c>
      <c r="E523">
        <v>13</v>
      </c>
      <c r="F523">
        <v>16</v>
      </c>
      <c r="G523">
        <v>208</v>
      </c>
      <c r="H523">
        <v>7.0000000000000007E-2</v>
      </c>
      <c r="I523">
        <v>14.560000000000002</v>
      </c>
      <c r="J523" t="s">
        <v>36</v>
      </c>
    </row>
    <row r="524" spans="1:10" x14ac:dyDescent="0.45">
      <c r="A524" t="s">
        <v>584</v>
      </c>
      <c r="B524" t="s">
        <v>222</v>
      </c>
      <c r="C524" t="s">
        <v>12</v>
      </c>
      <c r="D524" t="s">
        <v>32</v>
      </c>
      <c r="E524">
        <v>9</v>
      </c>
      <c r="F524">
        <v>80</v>
      </c>
      <c r="G524">
        <v>720</v>
      </c>
      <c r="H524">
        <v>0.02</v>
      </c>
      <c r="I524">
        <v>14.4</v>
      </c>
      <c r="J524" t="s">
        <v>38</v>
      </c>
    </row>
    <row r="525" spans="1:10" x14ac:dyDescent="0.45">
      <c r="A525" t="s">
        <v>585</v>
      </c>
      <c r="B525" t="s">
        <v>236</v>
      </c>
      <c r="C525" t="s">
        <v>12</v>
      </c>
      <c r="D525" t="s">
        <v>32</v>
      </c>
      <c r="E525">
        <v>9</v>
      </c>
      <c r="F525">
        <v>80</v>
      </c>
      <c r="G525">
        <v>720</v>
      </c>
      <c r="H525">
        <v>0.02</v>
      </c>
      <c r="I525">
        <v>14.4</v>
      </c>
      <c r="J525" t="s">
        <v>40</v>
      </c>
    </row>
    <row r="526" spans="1:10" x14ac:dyDescent="0.45">
      <c r="A526" t="s">
        <v>586</v>
      </c>
      <c r="B526" t="s">
        <v>236</v>
      </c>
      <c r="C526" t="s">
        <v>12</v>
      </c>
      <c r="D526" t="s">
        <v>28</v>
      </c>
      <c r="E526">
        <v>22</v>
      </c>
      <c r="F526">
        <v>80</v>
      </c>
      <c r="G526">
        <v>1760</v>
      </c>
      <c r="H526">
        <v>0.03</v>
      </c>
      <c r="I526">
        <v>52.8</v>
      </c>
      <c r="J526" t="s">
        <v>42</v>
      </c>
    </row>
    <row r="527" spans="1:10" x14ac:dyDescent="0.45">
      <c r="A527" t="s">
        <v>587</v>
      </c>
      <c r="B527" t="s">
        <v>236</v>
      </c>
      <c r="C527" t="s">
        <v>35</v>
      </c>
      <c r="D527" t="s">
        <v>13</v>
      </c>
      <c r="E527">
        <v>13</v>
      </c>
      <c r="F527">
        <v>150</v>
      </c>
      <c r="G527">
        <v>1950</v>
      </c>
      <c r="H527">
        <v>0.05</v>
      </c>
      <c r="I527">
        <v>97.5</v>
      </c>
      <c r="J527" t="s">
        <v>45</v>
      </c>
    </row>
    <row r="528" spans="1:10" x14ac:dyDescent="0.45">
      <c r="A528" t="s">
        <v>588</v>
      </c>
      <c r="B528" t="s">
        <v>236</v>
      </c>
      <c r="C528" t="s">
        <v>12</v>
      </c>
      <c r="D528" t="s">
        <v>13</v>
      </c>
      <c r="E528">
        <v>14</v>
      </c>
      <c r="F528">
        <v>80</v>
      </c>
      <c r="G528">
        <v>1120</v>
      </c>
      <c r="H528">
        <v>0.08</v>
      </c>
      <c r="I528">
        <v>89.600000000000009</v>
      </c>
      <c r="J528" t="s">
        <v>14</v>
      </c>
    </row>
    <row r="529" spans="1:10" x14ac:dyDescent="0.45">
      <c r="A529" t="s">
        <v>589</v>
      </c>
      <c r="B529" t="s">
        <v>236</v>
      </c>
      <c r="C529" t="s">
        <v>12</v>
      </c>
      <c r="D529" t="s">
        <v>13</v>
      </c>
      <c r="E529">
        <v>6</v>
      </c>
      <c r="F529">
        <v>80</v>
      </c>
      <c r="G529">
        <v>480</v>
      </c>
      <c r="H529">
        <v>7.0000000000000007E-2</v>
      </c>
      <c r="I529">
        <v>33.6</v>
      </c>
      <c r="J529" t="s">
        <v>18</v>
      </c>
    </row>
    <row r="530" spans="1:10" x14ac:dyDescent="0.45">
      <c r="A530" t="s">
        <v>590</v>
      </c>
      <c r="B530" t="s">
        <v>236</v>
      </c>
      <c r="C530" t="s">
        <v>12</v>
      </c>
      <c r="D530" t="s">
        <v>13</v>
      </c>
      <c r="E530">
        <v>16</v>
      </c>
      <c r="F530">
        <v>80</v>
      </c>
      <c r="G530">
        <v>1280</v>
      </c>
      <c r="H530">
        <v>0.03</v>
      </c>
      <c r="I530">
        <v>38.4</v>
      </c>
      <c r="J530" t="s">
        <v>21</v>
      </c>
    </row>
    <row r="531" spans="1:10" x14ac:dyDescent="0.45">
      <c r="A531" t="s">
        <v>591</v>
      </c>
      <c r="B531" t="s">
        <v>236</v>
      </c>
      <c r="C531" t="s">
        <v>35</v>
      </c>
      <c r="D531" t="s">
        <v>25</v>
      </c>
      <c r="E531">
        <v>22</v>
      </c>
      <c r="F531">
        <v>150</v>
      </c>
      <c r="G531">
        <v>3300</v>
      </c>
      <c r="H531">
        <v>0.09</v>
      </c>
      <c r="I531">
        <v>297</v>
      </c>
      <c r="J531" t="s">
        <v>23</v>
      </c>
    </row>
    <row r="532" spans="1:10" x14ac:dyDescent="0.45">
      <c r="A532" t="s">
        <v>592</v>
      </c>
      <c r="B532" t="s">
        <v>236</v>
      </c>
      <c r="C532" t="s">
        <v>35</v>
      </c>
      <c r="D532" t="s">
        <v>28</v>
      </c>
      <c r="E532">
        <v>4</v>
      </c>
      <c r="F532">
        <v>150</v>
      </c>
      <c r="G532">
        <v>600</v>
      </c>
      <c r="H532">
        <v>0.12</v>
      </c>
      <c r="I532">
        <v>72</v>
      </c>
      <c r="J532" t="s">
        <v>26</v>
      </c>
    </row>
    <row r="533" spans="1:10" x14ac:dyDescent="0.45">
      <c r="A533" t="s">
        <v>593</v>
      </c>
      <c r="B533" t="s">
        <v>236</v>
      </c>
      <c r="C533" t="s">
        <v>20</v>
      </c>
      <c r="D533" t="s">
        <v>32</v>
      </c>
      <c r="E533">
        <v>7</v>
      </c>
      <c r="F533">
        <v>230</v>
      </c>
      <c r="G533">
        <v>1610</v>
      </c>
      <c r="H533">
        <v>0.05</v>
      </c>
      <c r="I533">
        <v>80.5</v>
      </c>
      <c r="J533" t="s">
        <v>29</v>
      </c>
    </row>
    <row r="534" spans="1:10" x14ac:dyDescent="0.45">
      <c r="A534" t="s">
        <v>594</v>
      </c>
      <c r="B534" t="s">
        <v>236</v>
      </c>
      <c r="C534" t="s">
        <v>35</v>
      </c>
      <c r="D534" t="s">
        <v>28</v>
      </c>
      <c r="E534">
        <v>20</v>
      </c>
      <c r="F534">
        <v>150</v>
      </c>
      <c r="G534">
        <v>3000</v>
      </c>
      <c r="H534">
        <v>0.1</v>
      </c>
      <c r="I534">
        <v>300</v>
      </c>
      <c r="J534" t="s">
        <v>33</v>
      </c>
    </row>
    <row r="535" spans="1:10" x14ac:dyDescent="0.45">
      <c r="A535" t="s">
        <v>595</v>
      </c>
      <c r="B535" t="s">
        <v>236</v>
      </c>
      <c r="C535" t="s">
        <v>20</v>
      </c>
      <c r="D535" t="s">
        <v>28</v>
      </c>
      <c r="E535">
        <v>8</v>
      </c>
      <c r="F535">
        <v>230</v>
      </c>
      <c r="G535">
        <v>1840</v>
      </c>
      <c r="H535">
        <v>0.05</v>
      </c>
      <c r="I535">
        <v>92</v>
      </c>
      <c r="J535" t="s">
        <v>36</v>
      </c>
    </row>
    <row r="536" spans="1:10" x14ac:dyDescent="0.45">
      <c r="A536" t="s">
        <v>596</v>
      </c>
      <c r="B536" t="s">
        <v>247</v>
      </c>
      <c r="C536" t="s">
        <v>16</v>
      </c>
      <c r="D536" t="s">
        <v>28</v>
      </c>
      <c r="E536">
        <v>9</v>
      </c>
      <c r="F536">
        <v>40</v>
      </c>
      <c r="G536">
        <v>360</v>
      </c>
      <c r="H536">
        <v>0.06</v>
      </c>
      <c r="I536">
        <v>21.599999999999998</v>
      </c>
      <c r="J536" t="s">
        <v>38</v>
      </c>
    </row>
    <row r="537" spans="1:10" x14ac:dyDescent="0.45">
      <c r="A537" t="s">
        <v>597</v>
      </c>
      <c r="B537" t="s">
        <v>247</v>
      </c>
      <c r="C537" t="s">
        <v>20</v>
      </c>
      <c r="D537" t="s">
        <v>28</v>
      </c>
      <c r="E537">
        <v>19</v>
      </c>
      <c r="F537">
        <v>230</v>
      </c>
      <c r="G537">
        <v>4370</v>
      </c>
      <c r="H537">
        <v>0.06</v>
      </c>
      <c r="I537">
        <v>262.2</v>
      </c>
      <c r="J537" t="s">
        <v>40</v>
      </c>
    </row>
    <row r="538" spans="1:10" x14ac:dyDescent="0.45">
      <c r="A538" t="s">
        <v>598</v>
      </c>
      <c r="B538" t="s">
        <v>247</v>
      </c>
      <c r="C538" t="s">
        <v>16</v>
      </c>
      <c r="D538" t="s">
        <v>28</v>
      </c>
      <c r="E538">
        <v>22</v>
      </c>
      <c r="F538">
        <v>40</v>
      </c>
      <c r="G538">
        <v>880</v>
      </c>
      <c r="H538">
        <v>0.01</v>
      </c>
      <c r="I538">
        <v>8.8000000000000007</v>
      </c>
      <c r="J538" t="s">
        <v>42</v>
      </c>
    </row>
    <row r="539" spans="1:10" x14ac:dyDescent="0.45">
      <c r="A539" t="s">
        <v>599</v>
      </c>
      <c r="B539" t="s">
        <v>247</v>
      </c>
      <c r="C539" t="s">
        <v>16</v>
      </c>
      <c r="D539" t="s">
        <v>13</v>
      </c>
      <c r="E539">
        <v>22</v>
      </c>
      <c r="F539">
        <v>40</v>
      </c>
      <c r="G539">
        <v>880</v>
      </c>
      <c r="H539">
        <v>0.02</v>
      </c>
      <c r="I539">
        <v>17.600000000000001</v>
      </c>
      <c r="J539" t="s">
        <v>45</v>
      </c>
    </row>
    <row r="540" spans="1:10" x14ac:dyDescent="0.45">
      <c r="A540" t="s">
        <v>600</v>
      </c>
      <c r="B540" t="s">
        <v>247</v>
      </c>
      <c r="C540" t="s">
        <v>12</v>
      </c>
      <c r="D540" t="s">
        <v>32</v>
      </c>
      <c r="E540">
        <v>10</v>
      </c>
      <c r="F540">
        <v>80</v>
      </c>
      <c r="G540">
        <v>800</v>
      </c>
      <c r="H540">
        <v>0.06</v>
      </c>
      <c r="I540">
        <v>48</v>
      </c>
      <c r="J540" t="s">
        <v>14</v>
      </c>
    </row>
    <row r="541" spans="1:10" x14ac:dyDescent="0.45">
      <c r="A541" t="s">
        <v>601</v>
      </c>
      <c r="B541" t="s">
        <v>247</v>
      </c>
      <c r="C541" t="s">
        <v>16</v>
      </c>
      <c r="D541" t="s">
        <v>28</v>
      </c>
      <c r="E541">
        <v>7</v>
      </c>
      <c r="F541">
        <v>40</v>
      </c>
      <c r="G541">
        <v>280</v>
      </c>
      <c r="H541">
        <v>0.11</v>
      </c>
      <c r="I541">
        <v>30.8</v>
      </c>
      <c r="J541" t="s">
        <v>18</v>
      </c>
    </row>
    <row r="542" spans="1:10" x14ac:dyDescent="0.45">
      <c r="A542" t="s">
        <v>602</v>
      </c>
      <c r="B542" t="s">
        <v>247</v>
      </c>
      <c r="C542" t="s">
        <v>20</v>
      </c>
      <c r="D542" t="s">
        <v>13</v>
      </c>
      <c r="E542">
        <v>7</v>
      </c>
      <c r="F542">
        <v>230</v>
      </c>
      <c r="G542">
        <v>1610</v>
      </c>
      <c r="H542">
        <v>0.08</v>
      </c>
      <c r="I542">
        <v>128.80000000000001</v>
      </c>
      <c r="J542" t="s">
        <v>21</v>
      </c>
    </row>
    <row r="543" spans="1:10" x14ac:dyDescent="0.45">
      <c r="A543" t="s">
        <v>603</v>
      </c>
      <c r="B543" t="s">
        <v>247</v>
      </c>
      <c r="C543" t="s">
        <v>31</v>
      </c>
      <c r="D543" t="s">
        <v>13</v>
      </c>
      <c r="E543">
        <v>18</v>
      </c>
      <c r="F543">
        <v>16</v>
      </c>
      <c r="G543">
        <v>288</v>
      </c>
      <c r="H543">
        <v>0.11</v>
      </c>
      <c r="I543">
        <v>31.68</v>
      </c>
      <c r="J543" t="s">
        <v>23</v>
      </c>
    </row>
    <row r="544" spans="1:10" x14ac:dyDescent="0.45">
      <c r="A544" t="s">
        <v>604</v>
      </c>
      <c r="B544" t="s">
        <v>247</v>
      </c>
      <c r="C544" t="s">
        <v>20</v>
      </c>
      <c r="D544" t="s">
        <v>25</v>
      </c>
      <c r="E544">
        <v>14</v>
      </c>
      <c r="F544">
        <v>230</v>
      </c>
      <c r="G544">
        <v>3220</v>
      </c>
      <c r="H544">
        <v>0.12</v>
      </c>
      <c r="I544">
        <v>386.4</v>
      </c>
      <c r="J544" t="s">
        <v>26</v>
      </c>
    </row>
    <row r="545" spans="1:10" x14ac:dyDescent="0.45">
      <c r="A545" t="s">
        <v>605</v>
      </c>
      <c r="B545" t="s">
        <v>247</v>
      </c>
      <c r="C545" t="s">
        <v>16</v>
      </c>
      <c r="D545" t="s">
        <v>17</v>
      </c>
      <c r="E545">
        <v>21</v>
      </c>
      <c r="F545">
        <v>40</v>
      </c>
      <c r="G545">
        <v>840</v>
      </c>
      <c r="H545">
        <v>0.03</v>
      </c>
      <c r="I545">
        <v>25.2</v>
      </c>
      <c r="J545" t="s">
        <v>29</v>
      </c>
    </row>
    <row r="546" spans="1:10" x14ac:dyDescent="0.45">
      <c r="A546" t="s">
        <v>606</v>
      </c>
      <c r="B546" t="s">
        <v>247</v>
      </c>
      <c r="C546" t="s">
        <v>35</v>
      </c>
      <c r="D546" t="s">
        <v>13</v>
      </c>
      <c r="E546">
        <v>3</v>
      </c>
      <c r="F546">
        <v>150</v>
      </c>
      <c r="G546">
        <v>450</v>
      </c>
      <c r="H546">
        <v>0.03</v>
      </c>
      <c r="I546">
        <v>13.5</v>
      </c>
      <c r="J546" t="s">
        <v>33</v>
      </c>
    </row>
    <row r="547" spans="1:10" x14ac:dyDescent="0.45">
      <c r="A547" t="s">
        <v>607</v>
      </c>
      <c r="B547" t="s">
        <v>247</v>
      </c>
      <c r="C547" t="s">
        <v>12</v>
      </c>
      <c r="D547" t="s">
        <v>13</v>
      </c>
      <c r="E547">
        <v>12</v>
      </c>
      <c r="F547">
        <v>80</v>
      </c>
      <c r="G547">
        <v>960</v>
      </c>
      <c r="H547">
        <v>0.04</v>
      </c>
      <c r="I547">
        <v>38.4</v>
      </c>
      <c r="J547" t="s">
        <v>36</v>
      </c>
    </row>
    <row r="548" spans="1:10" x14ac:dyDescent="0.45">
      <c r="A548" t="s">
        <v>608</v>
      </c>
      <c r="B548" t="s">
        <v>255</v>
      </c>
      <c r="C548" t="s">
        <v>35</v>
      </c>
      <c r="D548" t="s">
        <v>28</v>
      </c>
      <c r="E548">
        <v>6</v>
      </c>
      <c r="F548">
        <v>150</v>
      </c>
      <c r="G548">
        <v>900</v>
      </c>
      <c r="H548">
        <v>0.03</v>
      </c>
      <c r="I548">
        <v>27</v>
      </c>
      <c r="J548" t="s">
        <v>38</v>
      </c>
    </row>
    <row r="549" spans="1:10" x14ac:dyDescent="0.45">
      <c r="A549" t="s">
        <v>609</v>
      </c>
      <c r="B549" t="s">
        <v>255</v>
      </c>
      <c r="C549" t="s">
        <v>16</v>
      </c>
      <c r="D549" t="s">
        <v>25</v>
      </c>
      <c r="E549">
        <v>20</v>
      </c>
      <c r="F549">
        <v>40</v>
      </c>
      <c r="G549">
        <v>800</v>
      </c>
      <c r="H549">
        <v>0.01</v>
      </c>
      <c r="I549">
        <v>8</v>
      </c>
      <c r="J549" t="s">
        <v>40</v>
      </c>
    </row>
    <row r="550" spans="1:10" x14ac:dyDescent="0.45">
      <c r="A550" t="s">
        <v>610</v>
      </c>
      <c r="B550" t="s">
        <v>255</v>
      </c>
      <c r="C550" t="s">
        <v>20</v>
      </c>
      <c r="D550" t="s">
        <v>13</v>
      </c>
      <c r="E550">
        <v>3</v>
      </c>
      <c r="F550">
        <v>230</v>
      </c>
      <c r="G550">
        <v>690</v>
      </c>
      <c r="H550">
        <v>0.06</v>
      </c>
      <c r="I550">
        <v>41.4</v>
      </c>
      <c r="J550" t="s">
        <v>33</v>
      </c>
    </row>
    <row r="551" spans="1:10" x14ac:dyDescent="0.45">
      <c r="A551" t="s">
        <v>611</v>
      </c>
      <c r="B551" t="s">
        <v>255</v>
      </c>
      <c r="C551" t="s">
        <v>20</v>
      </c>
      <c r="D551" t="s">
        <v>28</v>
      </c>
      <c r="E551">
        <v>3</v>
      </c>
      <c r="F551">
        <v>230</v>
      </c>
      <c r="G551">
        <v>690</v>
      </c>
      <c r="H551">
        <v>0.01</v>
      </c>
      <c r="I551">
        <v>6.9</v>
      </c>
      <c r="J551" t="s">
        <v>36</v>
      </c>
    </row>
    <row r="552" spans="1:10" x14ac:dyDescent="0.45">
      <c r="A552" t="s">
        <v>612</v>
      </c>
      <c r="B552" t="s">
        <v>255</v>
      </c>
      <c r="C552" t="s">
        <v>16</v>
      </c>
      <c r="D552" t="s">
        <v>13</v>
      </c>
      <c r="E552">
        <v>20</v>
      </c>
      <c r="F552">
        <v>40</v>
      </c>
      <c r="G552">
        <v>800</v>
      </c>
      <c r="H552">
        <v>0.04</v>
      </c>
      <c r="I552">
        <v>32</v>
      </c>
      <c r="J552" t="s">
        <v>38</v>
      </c>
    </row>
    <row r="553" spans="1:10" x14ac:dyDescent="0.45">
      <c r="A553" t="s">
        <v>613</v>
      </c>
      <c r="B553" t="s">
        <v>255</v>
      </c>
      <c r="C553" t="s">
        <v>12</v>
      </c>
      <c r="D553" t="s">
        <v>25</v>
      </c>
      <c r="E553">
        <v>16</v>
      </c>
      <c r="F553">
        <v>80</v>
      </c>
      <c r="G553">
        <v>1280</v>
      </c>
      <c r="H553">
        <v>0.02</v>
      </c>
      <c r="I553">
        <v>25.6</v>
      </c>
      <c r="J553" t="s">
        <v>40</v>
      </c>
    </row>
    <row r="554" spans="1:10" x14ac:dyDescent="0.45">
      <c r="A554" t="s">
        <v>614</v>
      </c>
      <c r="B554" t="s">
        <v>255</v>
      </c>
      <c r="C554" t="s">
        <v>35</v>
      </c>
      <c r="D554" t="s">
        <v>13</v>
      </c>
      <c r="E554">
        <v>8</v>
      </c>
      <c r="F554">
        <v>150</v>
      </c>
      <c r="G554">
        <v>1200</v>
      </c>
      <c r="H554">
        <v>0.09</v>
      </c>
      <c r="I554">
        <v>108</v>
      </c>
      <c r="J554" t="s">
        <v>33</v>
      </c>
    </row>
    <row r="555" spans="1:10" x14ac:dyDescent="0.45">
      <c r="A555" t="s">
        <v>615</v>
      </c>
      <c r="B555" t="s">
        <v>263</v>
      </c>
      <c r="C555" t="s">
        <v>20</v>
      </c>
      <c r="D555" t="s">
        <v>17</v>
      </c>
      <c r="E555">
        <v>7</v>
      </c>
      <c r="F555">
        <v>230</v>
      </c>
      <c r="G555">
        <v>1610</v>
      </c>
      <c r="H555">
        <v>0.01</v>
      </c>
      <c r="I555">
        <v>16.100000000000001</v>
      </c>
      <c r="J555" t="s">
        <v>36</v>
      </c>
    </row>
    <row r="556" spans="1:10" x14ac:dyDescent="0.45">
      <c r="A556" t="s">
        <v>616</v>
      </c>
      <c r="B556" t="s">
        <v>263</v>
      </c>
      <c r="C556" t="s">
        <v>35</v>
      </c>
      <c r="D556" t="s">
        <v>17</v>
      </c>
      <c r="E556">
        <v>23</v>
      </c>
      <c r="F556">
        <v>150</v>
      </c>
      <c r="G556">
        <v>3450</v>
      </c>
      <c r="H556">
        <v>0.11</v>
      </c>
      <c r="I556">
        <v>379.5</v>
      </c>
      <c r="J556" t="s">
        <v>38</v>
      </c>
    </row>
    <row r="557" spans="1:10" x14ac:dyDescent="0.45">
      <c r="A557" t="s">
        <v>617</v>
      </c>
      <c r="B557" t="s">
        <v>263</v>
      </c>
      <c r="C557" t="s">
        <v>16</v>
      </c>
      <c r="D557" t="s">
        <v>32</v>
      </c>
      <c r="E557">
        <v>16</v>
      </c>
      <c r="F557">
        <v>40</v>
      </c>
      <c r="G557">
        <v>640</v>
      </c>
      <c r="H557">
        <v>0.09</v>
      </c>
      <c r="I557">
        <v>57.599999999999994</v>
      </c>
      <c r="J557" t="s">
        <v>40</v>
      </c>
    </row>
    <row r="558" spans="1:10" x14ac:dyDescent="0.45">
      <c r="A558" t="s">
        <v>618</v>
      </c>
      <c r="B558" t="s">
        <v>263</v>
      </c>
      <c r="C558" t="s">
        <v>16</v>
      </c>
      <c r="D558" t="s">
        <v>32</v>
      </c>
      <c r="E558">
        <v>20</v>
      </c>
      <c r="F558">
        <v>40</v>
      </c>
      <c r="G558">
        <v>800</v>
      </c>
      <c r="H558">
        <v>0.1</v>
      </c>
      <c r="I558">
        <v>80</v>
      </c>
      <c r="J558" t="s">
        <v>33</v>
      </c>
    </row>
    <row r="559" spans="1:10" x14ac:dyDescent="0.45">
      <c r="A559" t="s">
        <v>619</v>
      </c>
      <c r="B559" t="s">
        <v>263</v>
      </c>
      <c r="C559" t="s">
        <v>16</v>
      </c>
      <c r="D559" t="s">
        <v>17</v>
      </c>
      <c r="E559">
        <v>18</v>
      </c>
      <c r="F559">
        <v>40</v>
      </c>
      <c r="G559">
        <v>720</v>
      </c>
      <c r="H559">
        <v>0.08</v>
      </c>
      <c r="I559">
        <v>57.6</v>
      </c>
      <c r="J559" t="s">
        <v>36</v>
      </c>
    </row>
    <row r="560" spans="1:10" x14ac:dyDescent="0.45">
      <c r="A560" t="s">
        <v>620</v>
      </c>
      <c r="B560" t="s">
        <v>263</v>
      </c>
      <c r="C560" t="s">
        <v>12</v>
      </c>
      <c r="D560" t="s">
        <v>32</v>
      </c>
      <c r="E560">
        <v>22</v>
      </c>
      <c r="F560">
        <v>80</v>
      </c>
      <c r="G560">
        <v>1760</v>
      </c>
      <c r="H560">
        <v>0.09</v>
      </c>
      <c r="I560">
        <v>158.4</v>
      </c>
      <c r="J560" t="s">
        <v>38</v>
      </c>
    </row>
    <row r="561" spans="1:10" x14ac:dyDescent="0.45">
      <c r="A561" t="s">
        <v>621</v>
      </c>
      <c r="B561" t="s">
        <v>263</v>
      </c>
      <c r="C561" t="s">
        <v>35</v>
      </c>
      <c r="D561" t="s">
        <v>17</v>
      </c>
      <c r="E561">
        <v>22</v>
      </c>
      <c r="F561">
        <v>150</v>
      </c>
      <c r="G561">
        <v>3300</v>
      </c>
      <c r="H561">
        <v>0.02</v>
      </c>
      <c r="I561">
        <v>66</v>
      </c>
      <c r="J561" t="s">
        <v>40</v>
      </c>
    </row>
    <row r="562" spans="1:10" x14ac:dyDescent="0.45">
      <c r="A562" t="s">
        <v>622</v>
      </c>
      <c r="B562" t="s">
        <v>263</v>
      </c>
      <c r="C562" t="s">
        <v>35</v>
      </c>
      <c r="D562" t="s">
        <v>17</v>
      </c>
      <c r="E562">
        <v>20</v>
      </c>
      <c r="F562">
        <v>150</v>
      </c>
      <c r="G562">
        <v>3000</v>
      </c>
      <c r="H562">
        <v>0.09</v>
      </c>
      <c r="I562">
        <v>270</v>
      </c>
      <c r="J562" t="s">
        <v>33</v>
      </c>
    </row>
    <row r="563" spans="1:10" x14ac:dyDescent="0.45">
      <c r="A563" t="s">
        <v>623</v>
      </c>
      <c r="B563" t="s">
        <v>263</v>
      </c>
      <c r="C563" t="s">
        <v>31</v>
      </c>
      <c r="D563" t="s">
        <v>13</v>
      </c>
      <c r="E563">
        <v>10</v>
      </c>
      <c r="F563">
        <v>16</v>
      </c>
      <c r="G563">
        <v>160</v>
      </c>
      <c r="H563">
        <v>0.08</v>
      </c>
      <c r="I563">
        <v>12.8</v>
      </c>
      <c r="J563" t="s">
        <v>36</v>
      </c>
    </row>
    <row r="564" spans="1:10" x14ac:dyDescent="0.45">
      <c r="A564" t="s">
        <v>624</v>
      </c>
      <c r="B564" t="s">
        <v>263</v>
      </c>
      <c r="C564" t="s">
        <v>16</v>
      </c>
      <c r="D564" t="s">
        <v>25</v>
      </c>
      <c r="E564">
        <v>12</v>
      </c>
      <c r="F564">
        <v>40</v>
      </c>
      <c r="G564">
        <v>480</v>
      </c>
      <c r="H564">
        <v>0.02</v>
      </c>
      <c r="I564">
        <v>9.6</v>
      </c>
      <c r="J564" t="s">
        <v>38</v>
      </c>
    </row>
    <row r="565" spans="1:10" x14ac:dyDescent="0.45">
      <c r="A565" t="s">
        <v>625</v>
      </c>
      <c r="B565" t="s">
        <v>263</v>
      </c>
      <c r="C565" t="s">
        <v>35</v>
      </c>
      <c r="D565" t="s">
        <v>13</v>
      </c>
      <c r="E565">
        <v>4</v>
      </c>
      <c r="F565">
        <v>150</v>
      </c>
      <c r="G565">
        <v>600</v>
      </c>
      <c r="H565">
        <v>0.1</v>
      </c>
      <c r="I565">
        <v>60</v>
      </c>
      <c r="J565" t="s">
        <v>40</v>
      </c>
    </row>
    <row r="566" spans="1:10" x14ac:dyDescent="0.45">
      <c r="A566" t="s">
        <v>626</v>
      </c>
      <c r="B566" t="s">
        <v>263</v>
      </c>
      <c r="C566" t="s">
        <v>12</v>
      </c>
      <c r="D566" t="s">
        <v>25</v>
      </c>
      <c r="E566">
        <v>5</v>
      </c>
      <c r="F566">
        <v>80</v>
      </c>
      <c r="G566">
        <v>400</v>
      </c>
      <c r="H566">
        <v>0.09</v>
      </c>
      <c r="I566">
        <v>36</v>
      </c>
      <c r="J566" t="s">
        <v>33</v>
      </c>
    </row>
    <row r="567" spans="1:10" x14ac:dyDescent="0.45">
      <c r="A567" t="s">
        <v>627</v>
      </c>
      <c r="B567" t="s">
        <v>263</v>
      </c>
      <c r="C567" t="s">
        <v>16</v>
      </c>
      <c r="D567" t="s">
        <v>13</v>
      </c>
      <c r="E567">
        <v>11</v>
      </c>
      <c r="F567">
        <v>40</v>
      </c>
      <c r="G567">
        <v>440</v>
      </c>
      <c r="H567">
        <v>0.04</v>
      </c>
      <c r="I567">
        <v>17.600000000000001</v>
      </c>
      <c r="J567" t="s">
        <v>36</v>
      </c>
    </row>
    <row r="568" spans="1:10" x14ac:dyDescent="0.45">
      <c r="A568" t="s">
        <v>628</v>
      </c>
      <c r="B568" t="s">
        <v>263</v>
      </c>
      <c r="C568" t="s">
        <v>35</v>
      </c>
      <c r="D568" t="s">
        <v>17</v>
      </c>
      <c r="E568">
        <v>13</v>
      </c>
      <c r="F568">
        <v>150</v>
      </c>
      <c r="G568">
        <v>1950</v>
      </c>
      <c r="H568">
        <v>0.08</v>
      </c>
      <c r="I568">
        <v>156</v>
      </c>
      <c r="J568" t="s">
        <v>38</v>
      </c>
    </row>
    <row r="569" spans="1:10" x14ac:dyDescent="0.45">
      <c r="A569" t="s">
        <v>629</v>
      </c>
      <c r="B569" t="s">
        <v>263</v>
      </c>
      <c r="C569" t="s">
        <v>12</v>
      </c>
      <c r="D569" t="s">
        <v>28</v>
      </c>
      <c r="E569">
        <v>19</v>
      </c>
      <c r="F569">
        <v>80</v>
      </c>
      <c r="G569">
        <v>1520</v>
      </c>
      <c r="H569">
        <v>0.02</v>
      </c>
      <c r="I569">
        <v>30.400000000000002</v>
      </c>
      <c r="J569" t="s">
        <v>40</v>
      </c>
    </row>
    <row r="570" spans="1:10" x14ac:dyDescent="0.45">
      <c r="A570" t="s">
        <v>630</v>
      </c>
      <c r="B570" t="s">
        <v>263</v>
      </c>
      <c r="C570" t="s">
        <v>20</v>
      </c>
      <c r="D570" t="s">
        <v>17</v>
      </c>
      <c r="E570">
        <v>7</v>
      </c>
      <c r="F570">
        <v>230</v>
      </c>
      <c r="G570">
        <v>1610</v>
      </c>
      <c r="H570">
        <v>0.01</v>
      </c>
      <c r="I570">
        <v>16.100000000000001</v>
      </c>
      <c r="J570" t="s">
        <v>33</v>
      </c>
    </row>
    <row r="571" spans="1:10" x14ac:dyDescent="0.45">
      <c r="A571" t="s">
        <v>631</v>
      </c>
      <c r="B571" t="s">
        <v>277</v>
      </c>
      <c r="C571" t="s">
        <v>12</v>
      </c>
      <c r="D571" t="s">
        <v>32</v>
      </c>
      <c r="E571">
        <v>16</v>
      </c>
      <c r="F571">
        <v>80</v>
      </c>
      <c r="G571">
        <v>1280</v>
      </c>
      <c r="H571">
        <v>0.09</v>
      </c>
      <c r="I571">
        <v>115.19999999999999</v>
      </c>
      <c r="J571" t="s">
        <v>36</v>
      </c>
    </row>
    <row r="572" spans="1:10" x14ac:dyDescent="0.45">
      <c r="A572" t="s">
        <v>632</v>
      </c>
      <c r="B572" t="s">
        <v>277</v>
      </c>
      <c r="C572" t="s">
        <v>20</v>
      </c>
      <c r="D572" t="s">
        <v>13</v>
      </c>
      <c r="E572">
        <v>7</v>
      </c>
      <c r="F572">
        <v>230</v>
      </c>
      <c r="G572">
        <v>1610</v>
      </c>
      <c r="H572">
        <v>0.02</v>
      </c>
      <c r="I572">
        <v>32.200000000000003</v>
      </c>
      <c r="J572" t="s">
        <v>38</v>
      </c>
    </row>
    <row r="573" spans="1:10" x14ac:dyDescent="0.45">
      <c r="A573" t="s">
        <v>633</v>
      </c>
      <c r="B573" t="s">
        <v>277</v>
      </c>
      <c r="C573" t="s">
        <v>16</v>
      </c>
      <c r="D573" t="s">
        <v>13</v>
      </c>
      <c r="E573">
        <v>5</v>
      </c>
      <c r="F573">
        <v>40</v>
      </c>
      <c r="G573">
        <v>200</v>
      </c>
      <c r="H573">
        <v>0.06</v>
      </c>
      <c r="I573">
        <v>12</v>
      </c>
      <c r="J573" t="s">
        <v>40</v>
      </c>
    </row>
    <row r="574" spans="1:10" x14ac:dyDescent="0.45">
      <c r="A574" t="s">
        <v>634</v>
      </c>
      <c r="B574" t="s">
        <v>277</v>
      </c>
      <c r="C574" t="s">
        <v>35</v>
      </c>
      <c r="D574" t="s">
        <v>25</v>
      </c>
      <c r="E574">
        <v>9</v>
      </c>
      <c r="F574">
        <v>150</v>
      </c>
      <c r="G574">
        <v>1350</v>
      </c>
      <c r="H574">
        <v>0.06</v>
      </c>
      <c r="I574">
        <v>81</v>
      </c>
      <c r="J574" t="s">
        <v>33</v>
      </c>
    </row>
    <row r="575" spans="1:10" x14ac:dyDescent="0.45">
      <c r="A575" t="s">
        <v>635</v>
      </c>
      <c r="B575" t="s">
        <v>277</v>
      </c>
      <c r="C575" t="s">
        <v>16</v>
      </c>
      <c r="D575" t="s">
        <v>32</v>
      </c>
      <c r="E575">
        <v>20</v>
      </c>
      <c r="F575">
        <v>40</v>
      </c>
      <c r="G575">
        <v>800</v>
      </c>
      <c r="H575">
        <v>7.0000000000000007E-2</v>
      </c>
      <c r="I575">
        <v>56.000000000000007</v>
      </c>
      <c r="J575" t="s">
        <v>36</v>
      </c>
    </row>
    <row r="576" spans="1:10" x14ac:dyDescent="0.45">
      <c r="A576" t="s">
        <v>636</v>
      </c>
      <c r="B576" t="s">
        <v>277</v>
      </c>
      <c r="C576" t="s">
        <v>31</v>
      </c>
      <c r="D576" t="s">
        <v>17</v>
      </c>
      <c r="E576">
        <v>20</v>
      </c>
      <c r="F576">
        <v>16</v>
      </c>
      <c r="G576">
        <v>320</v>
      </c>
      <c r="H576">
        <v>0.06</v>
      </c>
      <c r="I576">
        <v>19.2</v>
      </c>
      <c r="J576" t="s">
        <v>38</v>
      </c>
    </row>
    <row r="577" spans="1:10" x14ac:dyDescent="0.45">
      <c r="A577" t="s">
        <v>637</v>
      </c>
      <c r="B577" t="s">
        <v>277</v>
      </c>
      <c r="C577" t="s">
        <v>16</v>
      </c>
      <c r="D577" t="s">
        <v>32</v>
      </c>
      <c r="E577">
        <v>5</v>
      </c>
      <c r="F577">
        <v>40</v>
      </c>
      <c r="G577">
        <v>200</v>
      </c>
      <c r="H577">
        <v>0.03</v>
      </c>
      <c r="I577">
        <v>6</v>
      </c>
      <c r="J577" t="s">
        <v>40</v>
      </c>
    </row>
    <row r="578" spans="1:10" x14ac:dyDescent="0.45">
      <c r="A578" t="s">
        <v>638</v>
      </c>
      <c r="B578" t="s">
        <v>292</v>
      </c>
      <c r="C578" t="s">
        <v>12</v>
      </c>
      <c r="D578" t="s">
        <v>28</v>
      </c>
      <c r="E578">
        <v>7</v>
      </c>
      <c r="F578">
        <v>80</v>
      </c>
      <c r="G578">
        <v>560</v>
      </c>
      <c r="H578">
        <v>7.0000000000000007E-2</v>
      </c>
      <c r="I578">
        <v>39.200000000000003</v>
      </c>
      <c r="J578" t="s">
        <v>33</v>
      </c>
    </row>
    <row r="579" spans="1:10" x14ac:dyDescent="0.45">
      <c r="A579" t="s">
        <v>639</v>
      </c>
      <c r="B579" t="s">
        <v>292</v>
      </c>
      <c r="C579" t="s">
        <v>31</v>
      </c>
      <c r="D579" t="s">
        <v>32</v>
      </c>
      <c r="E579">
        <v>22</v>
      </c>
      <c r="F579">
        <v>16</v>
      </c>
      <c r="G579">
        <v>352</v>
      </c>
      <c r="H579">
        <v>0.12</v>
      </c>
      <c r="I579">
        <v>42.239999999999995</v>
      </c>
      <c r="J579" t="s">
        <v>36</v>
      </c>
    </row>
    <row r="580" spans="1:10" x14ac:dyDescent="0.45">
      <c r="A580" t="s">
        <v>640</v>
      </c>
      <c r="B580" t="s">
        <v>292</v>
      </c>
      <c r="C580" t="s">
        <v>31</v>
      </c>
      <c r="D580" t="s">
        <v>32</v>
      </c>
      <c r="E580">
        <v>11</v>
      </c>
      <c r="F580">
        <v>16</v>
      </c>
      <c r="G580">
        <v>176</v>
      </c>
      <c r="H580">
        <v>0.12</v>
      </c>
      <c r="I580">
        <v>21.119999999999997</v>
      </c>
      <c r="J580" t="s">
        <v>38</v>
      </c>
    </row>
    <row r="581" spans="1:10" x14ac:dyDescent="0.45">
      <c r="A581" t="s">
        <v>641</v>
      </c>
      <c r="B581" t="s">
        <v>292</v>
      </c>
      <c r="C581" t="s">
        <v>20</v>
      </c>
      <c r="D581" t="s">
        <v>28</v>
      </c>
      <c r="E581">
        <v>17</v>
      </c>
      <c r="F581">
        <v>230</v>
      </c>
      <c r="G581">
        <v>3910</v>
      </c>
      <c r="H581">
        <v>0.12</v>
      </c>
      <c r="I581">
        <v>469.2</v>
      </c>
      <c r="J581" t="s">
        <v>40</v>
      </c>
    </row>
    <row r="582" spans="1:10" x14ac:dyDescent="0.45">
      <c r="A582" t="s">
        <v>642</v>
      </c>
      <c r="B582" t="s">
        <v>292</v>
      </c>
      <c r="C582" t="s">
        <v>12</v>
      </c>
      <c r="D582" t="s">
        <v>13</v>
      </c>
      <c r="E582">
        <v>7</v>
      </c>
      <c r="F582">
        <v>80</v>
      </c>
      <c r="G582">
        <v>560</v>
      </c>
      <c r="H582">
        <v>0.02</v>
      </c>
      <c r="I582">
        <v>11.200000000000001</v>
      </c>
      <c r="J582" t="s">
        <v>33</v>
      </c>
    </row>
    <row r="583" spans="1:10" x14ac:dyDescent="0.45">
      <c r="A583" t="s">
        <v>643</v>
      </c>
      <c r="B583" t="s">
        <v>292</v>
      </c>
      <c r="C583" t="s">
        <v>31</v>
      </c>
      <c r="D583" t="s">
        <v>17</v>
      </c>
      <c r="E583">
        <v>5</v>
      </c>
      <c r="F583">
        <v>16</v>
      </c>
      <c r="G583">
        <v>80</v>
      </c>
      <c r="H583">
        <v>0.11</v>
      </c>
      <c r="I583">
        <v>8.8000000000000007</v>
      </c>
      <c r="J583" t="s">
        <v>36</v>
      </c>
    </row>
    <row r="584" spans="1:10" x14ac:dyDescent="0.45">
      <c r="A584" t="s">
        <v>644</v>
      </c>
      <c r="B584" t="s">
        <v>292</v>
      </c>
      <c r="C584" t="s">
        <v>35</v>
      </c>
      <c r="D584" t="s">
        <v>32</v>
      </c>
      <c r="E584">
        <v>18</v>
      </c>
      <c r="F584">
        <v>150</v>
      </c>
      <c r="G584">
        <v>2700</v>
      </c>
      <c r="H584">
        <v>0.12</v>
      </c>
      <c r="I584">
        <v>324</v>
      </c>
      <c r="J584" t="s">
        <v>38</v>
      </c>
    </row>
    <row r="585" spans="1:10" x14ac:dyDescent="0.45">
      <c r="A585" t="s">
        <v>645</v>
      </c>
      <c r="B585" t="s">
        <v>292</v>
      </c>
      <c r="C585" t="s">
        <v>16</v>
      </c>
      <c r="D585" t="s">
        <v>32</v>
      </c>
      <c r="E585">
        <v>10</v>
      </c>
      <c r="F585">
        <v>40</v>
      </c>
      <c r="G585">
        <v>400</v>
      </c>
      <c r="H585">
        <v>0.03</v>
      </c>
      <c r="I585">
        <v>12</v>
      </c>
      <c r="J585" t="s">
        <v>40</v>
      </c>
    </row>
    <row r="586" spans="1:10" x14ac:dyDescent="0.45">
      <c r="A586" t="s">
        <v>646</v>
      </c>
      <c r="B586" t="s">
        <v>292</v>
      </c>
      <c r="C586" t="s">
        <v>16</v>
      </c>
      <c r="D586" t="s">
        <v>32</v>
      </c>
      <c r="E586">
        <v>14</v>
      </c>
      <c r="F586">
        <v>40</v>
      </c>
      <c r="G586">
        <v>560</v>
      </c>
      <c r="H586">
        <v>0.11</v>
      </c>
      <c r="I586">
        <v>61.6</v>
      </c>
      <c r="J586" t="s">
        <v>33</v>
      </c>
    </row>
    <row r="587" spans="1:10" x14ac:dyDescent="0.45">
      <c r="A587" t="s">
        <v>647</v>
      </c>
      <c r="B587" t="s">
        <v>292</v>
      </c>
      <c r="C587" t="s">
        <v>16</v>
      </c>
      <c r="D587" t="s">
        <v>32</v>
      </c>
      <c r="E587">
        <v>16</v>
      </c>
      <c r="F587">
        <v>40</v>
      </c>
      <c r="G587">
        <v>640</v>
      </c>
      <c r="H587">
        <v>0.09</v>
      </c>
      <c r="I587">
        <v>57.599999999999994</v>
      </c>
      <c r="J587" t="s">
        <v>36</v>
      </c>
    </row>
    <row r="588" spans="1:10" x14ac:dyDescent="0.45">
      <c r="A588" t="s">
        <v>648</v>
      </c>
      <c r="B588" t="s">
        <v>304</v>
      </c>
      <c r="C588" t="s">
        <v>16</v>
      </c>
      <c r="D588" t="s">
        <v>28</v>
      </c>
      <c r="E588">
        <v>23</v>
      </c>
      <c r="F588">
        <v>40</v>
      </c>
      <c r="G588">
        <v>920</v>
      </c>
      <c r="H588">
        <v>0.06</v>
      </c>
      <c r="I588">
        <v>55.199999999999996</v>
      </c>
      <c r="J588" t="s">
        <v>38</v>
      </c>
    </row>
    <row r="589" spans="1:10" x14ac:dyDescent="0.45">
      <c r="A589" t="s">
        <v>649</v>
      </c>
      <c r="B589" t="s">
        <v>304</v>
      </c>
      <c r="C589" t="s">
        <v>20</v>
      </c>
      <c r="D589" t="s">
        <v>28</v>
      </c>
      <c r="E589">
        <v>8</v>
      </c>
      <c r="F589">
        <v>230</v>
      </c>
      <c r="G589">
        <v>1840</v>
      </c>
      <c r="H589">
        <v>0.05</v>
      </c>
      <c r="I589">
        <v>92</v>
      </c>
      <c r="J589" t="s">
        <v>40</v>
      </c>
    </row>
    <row r="590" spans="1:10" x14ac:dyDescent="0.45">
      <c r="A590" t="s">
        <v>650</v>
      </c>
      <c r="B590" t="s">
        <v>304</v>
      </c>
      <c r="C590" t="s">
        <v>31</v>
      </c>
      <c r="D590" t="s">
        <v>28</v>
      </c>
      <c r="E590">
        <v>14</v>
      </c>
      <c r="F590">
        <v>16</v>
      </c>
      <c r="G590">
        <v>224</v>
      </c>
      <c r="H590">
        <v>0.12</v>
      </c>
      <c r="I590">
        <v>26.88</v>
      </c>
      <c r="J590" t="s">
        <v>33</v>
      </c>
    </row>
    <row r="591" spans="1:10" x14ac:dyDescent="0.45">
      <c r="A591" t="s">
        <v>651</v>
      </c>
      <c r="B591" t="s">
        <v>304</v>
      </c>
      <c r="C591" t="s">
        <v>12</v>
      </c>
      <c r="D591" t="s">
        <v>13</v>
      </c>
      <c r="E591">
        <v>17</v>
      </c>
      <c r="F591">
        <v>80</v>
      </c>
      <c r="G591">
        <v>1360</v>
      </c>
      <c r="H591">
        <v>0.09</v>
      </c>
      <c r="I591">
        <v>122.39999999999999</v>
      </c>
      <c r="J591" t="s">
        <v>36</v>
      </c>
    </row>
    <row r="592" spans="1:10" x14ac:dyDescent="0.45">
      <c r="A592" t="s">
        <v>652</v>
      </c>
      <c r="B592" t="s">
        <v>304</v>
      </c>
      <c r="C592" t="s">
        <v>35</v>
      </c>
      <c r="D592" t="s">
        <v>25</v>
      </c>
      <c r="E592">
        <v>11</v>
      </c>
      <c r="F592">
        <v>150</v>
      </c>
      <c r="G592">
        <v>1650</v>
      </c>
      <c r="H592">
        <v>0.11</v>
      </c>
      <c r="I592">
        <v>181.5</v>
      </c>
      <c r="J592" t="s">
        <v>38</v>
      </c>
    </row>
    <row r="593" spans="1:10" x14ac:dyDescent="0.45">
      <c r="A593" t="s">
        <v>653</v>
      </c>
      <c r="B593" t="s">
        <v>304</v>
      </c>
      <c r="C593" t="s">
        <v>16</v>
      </c>
      <c r="D593" t="s">
        <v>28</v>
      </c>
      <c r="E593">
        <v>15</v>
      </c>
      <c r="F593">
        <v>40</v>
      </c>
      <c r="G593">
        <v>600</v>
      </c>
      <c r="H593">
        <v>0.03</v>
      </c>
      <c r="I593">
        <v>18</v>
      </c>
      <c r="J593" t="s">
        <v>40</v>
      </c>
    </row>
    <row r="594" spans="1:10" x14ac:dyDescent="0.45">
      <c r="A594" t="s">
        <v>654</v>
      </c>
      <c r="B594" t="s">
        <v>304</v>
      </c>
      <c r="C594" t="s">
        <v>12</v>
      </c>
      <c r="D594" t="s">
        <v>32</v>
      </c>
      <c r="E594">
        <v>9</v>
      </c>
      <c r="F594">
        <v>80</v>
      </c>
      <c r="G594">
        <v>720</v>
      </c>
      <c r="H594">
        <v>7.0000000000000007E-2</v>
      </c>
      <c r="I594">
        <v>50.400000000000006</v>
      </c>
      <c r="J594" t="s">
        <v>33</v>
      </c>
    </row>
    <row r="595" spans="1:10" x14ac:dyDescent="0.45">
      <c r="A595" t="s">
        <v>655</v>
      </c>
      <c r="B595" t="s">
        <v>304</v>
      </c>
      <c r="C595" t="s">
        <v>20</v>
      </c>
      <c r="D595" t="s">
        <v>17</v>
      </c>
      <c r="E595">
        <v>22</v>
      </c>
      <c r="F595">
        <v>230</v>
      </c>
      <c r="G595">
        <v>5060</v>
      </c>
      <c r="H595">
        <v>0.04</v>
      </c>
      <c r="I595">
        <v>202.4</v>
      </c>
      <c r="J595" t="s">
        <v>36</v>
      </c>
    </row>
    <row r="596" spans="1:10" x14ac:dyDescent="0.45">
      <c r="A596" t="s">
        <v>656</v>
      </c>
      <c r="B596" t="s">
        <v>304</v>
      </c>
      <c r="C596" t="s">
        <v>20</v>
      </c>
      <c r="D596" t="s">
        <v>17</v>
      </c>
      <c r="E596">
        <v>11</v>
      </c>
      <c r="F596">
        <v>230</v>
      </c>
      <c r="G596">
        <v>2530</v>
      </c>
      <c r="H596">
        <v>0.1</v>
      </c>
      <c r="I596">
        <v>253</v>
      </c>
      <c r="J596" t="s">
        <v>38</v>
      </c>
    </row>
    <row r="597" spans="1:10" x14ac:dyDescent="0.45">
      <c r="A597" t="s">
        <v>657</v>
      </c>
      <c r="B597" t="s">
        <v>304</v>
      </c>
      <c r="C597" t="s">
        <v>16</v>
      </c>
      <c r="D597" t="s">
        <v>25</v>
      </c>
      <c r="E597">
        <v>11</v>
      </c>
      <c r="F597">
        <v>40</v>
      </c>
      <c r="G597">
        <v>440</v>
      </c>
      <c r="H597">
        <v>0.12</v>
      </c>
      <c r="I597">
        <v>52.8</v>
      </c>
      <c r="J597" t="s">
        <v>40</v>
      </c>
    </row>
    <row r="598" spans="1:10" x14ac:dyDescent="0.45">
      <c r="A598" t="s">
        <v>658</v>
      </c>
      <c r="B598" t="s">
        <v>304</v>
      </c>
      <c r="C598" t="s">
        <v>16</v>
      </c>
      <c r="D598" t="s">
        <v>28</v>
      </c>
      <c r="E598">
        <v>9</v>
      </c>
      <c r="F598">
        <v>40</v>
      </c>
      <c r="G598">
        <v>360</v>
      </c>
      <c r="H598">
        <v>0.06</v>
      </c>
      <c r="I598">
        <v>21.599999999999998</v>
      </c>
      <c r="J598" t="s">
        <v>33</v>
      </c>
    </row>
    <row r="599" spans="1:10" x14ac:dyDescent="0.45">
      <c r="A599" t="s">
        <v>659</v>
      </c>
      <c r="B599" t="s">
        <v>319</v>
      </c>
      <c r="C599" t="s">
        <v>16</v>
      </c>
      <c r="D599" t="s">
        <v>28</v>
      </c>
      <c r="E599">
        <v>13</v>
      </c>
      <c r="F599">
        <v>40</v>
      </c>
      <c r="G599">
        <v>520</v>
      </c>
      <c r="H599">
        <v>0.09</v>
      </c>
      <c r="I599">
        <v>46.8</v>
      </c>
      <c r="J599" t="s">
        <v>36</v>
      </c>
    </row>
    <row r="600" spans="1:10" x14ac:dyDescent="0.45">
      <c r="A600" t="s">
        <v>660</v>
      </c>
      <c r="B600" t="s">
        <v>319</v>
      </c>
      <c r="C600" t="s">
        <v>16</v>
      </c>
      <c r="D600" t="s">
        <v>17</v>
      </c>
      <c r="E600">
        <v>4</v>
      </c>
      <c r="F600">
        <v>40</v>
      </c>
      <c r="G600">
        <v>160</v>
      </c>
      <c r="H600">
        <v>0.12</v>
      </c>
      <c r="I600">
        <v>19.2</v>
      </c>
      <c r="J600" t="s">
        <v>38</v>
      </c>
    </row>
    <row r="601" spans="1:10" x14ac:dyDescent="0.45">
      <c r="A601" t="s">
        <v>661</v>
      </c>
      <c r="B601" t="s">
        <v>319</v>
      </c>
      <c r="C601" t="s">
        <v>35</v>
      </c>
      <c r="D601" t="s">
        <v>13</v>
      </c>
      <c r="E601">
        <v>22</v>
      </c>
      <c r="F601">
        <v>150</v>
      </c>
      <c r="G601">
        <v>3300</v>
      </c>
      <c r="H601">
        <v>0.05</v>
      </c>
      <c r="I601">
        <v>165</v>
      </c>
      <c r="J601" t="s">
        <v>40</v>
      </c>
    </row>
    <row r="602" spans="1:10" x14ac:dyDescent="0.45">
      <c r="A602" t="s">
        <v>662</v>
      </c>
      <c r="B602" t="s">
        <v>319</v>
      </c>
      <c r="C602" t="s">
        <v>16</v>
      </c>
      <c r="D602" t="s">
        <v>32</v>
      </c>
      <c r="E602">
        <v>21</v>
      </c>
      <c r="F602">
        <v>40</v>
      </c>
      <c r="G602">
        <v>840</v>
      </c>
      <c r="H602">
        <v>0.01</v>
      </c>
      <c r="I602">
        <v>8.4</v>
      </c>
      <c r="J602" t="s">
        <v>33</v>
      </c>
    </row>
    <row r="603" spans="1:10" x14ac:dyDescent="0.45">
      <c r="A603" t="s">
        <v>663</v>
      </c>
      <c r="B603" t="s">
        <v>319</v>
      </c>
      <c r="C603" t="s">
        <v>31</v>
      </c>
      <c r="D603" t="s">
        <v>13</v>
      </c>
      <c r="E603">
        <v>16</v>
      </c>
      <c r="F603">
        <v>16</v>
      </c>
      <c r="G603">
        <v>256</v>
      </c>
      <c r="H603">
        <v>0.03</v>
      </c>
      <c r="I603">
        <v>7.68</v>
      </c>
      <c r="J603" t="s">
        <v>36</v>
      </c>
    </row>
    <row r="604" spans="1:10" x14ac:dyDescent="0.45">
      <c r="A604" t="s">
        <v>664</v>
      </c>
      <c r="B604" t="s">
        <v>319</v>
      </c>
      <c r="C604" t="s">
        <v>12</v>
      </c>
      <c r="D604" t="s">
        <v>28</v>
      </c>
      <c r="E604">
        <v>16</v>
      </c>
      <c r="F604">
        <v>80</v>
      </c>
      <c r="G604">
        <v>1280</v>
      </c>
      <c r="H604">
        <v>7.0000000000000007E-2</v>
      </c>
      <c r="I604">
        <v>89.600000000000009</v>
      </c>
      <c r="J604" t="s">
        <v>38</v>
      </c>
    </row>
    <row r="605" spans="1:10" x14ac:dyDescent="0.45">
      <c r="A605" t="s">
        <v>665</v>
      </c>
      <c r="B605" t="s">
        <v>319</v>
      </c>
      <c r="C605" t="s">
        <v>12</v>
      </c>
      <c r="D605" t="s">
        <v>17</v>
      </c>
      <c r="E605">
        <v>15</v>
      </c>
      <c r="F605">
        <v>80</v>
      </c>
      <c r="G605">
        <v>1200</v>
      </c>
      <c r="H605">
        <v>0.12</v>
      </c>
      <c r="I605">
        <v>144</v>
      </c>
      <c r="J605" t="s">
        <v>40</v>
      </c>
    </row>
    <row r="606" spans="1:10" x14ac:dyDescent="0.45">
      <c r="A606" t="s">
        <v>666</v>
      </c>
      <c r="B606" t="s">
        <v>319</v>
      </c>
      <c r="C606" t="s">
        <v>35</v>
      </c>
      <c r="D606" t="s">
        <v>13</v>
      </c>
      <c r="E606">
        <v>20</v>
      </c>
      <c r="F606">
        <v>150</v>
      </c>
      <c r="G606">
        <v>3000</v>
      </c>
      <c r="H606">
        <v>0.03</v>
      </c>
      <c r="I606">
        <v>90</v>
      </c>
      <c r="J606" t="s">
        <v>33</v>
      </c>
    </row>
    <row r="607" spans="1:10" x14ac:dyDescent="0.45">
      <c r="A607" t="s">
        <v>667</v>
      </c>
      <c r="B607" t="s">
        <v>319</v>
      </c>
      <c r="C607" t="s">
        <v>16</v>
      </c>
      <c r="D607" t="s">
        <v>28</v>
      </c>
      <c r="E607">
        <v>13</v>
      </c>
      <c r="F607">
        <v>40</v>
      </c>
      <c r="G607">
        <v>520</v>
      </c>
      <c r="H607">
        <v>0.06</v>
      </c>
      <c r="I607">
        <v>31.2</v>
      </c>
      <c r="J607" t="s">
        <v>36</v>
      </c>
    </row>
    <row r="608" spans="1:10" x14ac:dyDescent="0.45">
      <c r="A608" t="s">
        <v>668</v>
      </c>
      <c r="B608" t="s">
        <v>319</v>
      </c>
      <c r="C608" t="s">
        <v>31</v>
      </c>
      <c r="D608" t="s">
        <v>32</v>
      </c>
      <c r="E608">
        <v>3</v>
      </c>
      <c r="F608">
        <v>16</v>
      </c>
      <c r="G608">
        <v>48</v>
      </c>
      <c r="H608">
        <v>0.06</v>
      </c>
      <c r="I608">
        <v>2.88</v>
      </c>
      <c r="J608" t="s">
        <v>38</v>
      </c>
    </row>
    <row r="609" spans="1:10" x14ac:dyDescent="0.45">
      <c r="A609" t="s">
        <v>669</v>
      </c>
      <c r="B609" t="s">
        <v>319</v>
      </c>
      <c r="C609" t="s">
        <v>31</v>
      </c>
      <c r="D609" t="s">
        <v>25</v>
      </c>
      <c r="E609">
        <v>11</v>
      </c>
      <c r="F609">
        <v>16</v>
      </c>
      <c r="G609">
        <v>176</v>
      </c>
      <c r="H609">
        <v>0.04</v>
      </c>
      <c r="I609">
        <v>7.04</v>
      </c>
      <c r="J609" t="s">
        <v>40</v>
      </c>
    </row>
    <row r="610" spans="1:10" x14ac:dyDescent="0.45">
      <c r="A610" t="s">
        <v>670</v>
      </c>
      <c r="B610" t="s">
        <v>338</v>
      </c>
      <c r="C610" t="s">
        <v>16</v>
      </c>
      <c r="D610" t="s">
        <v>32</v>
      </c>
      <c r="E610">
        <v>16</v>
      </c>
      <c r="F610">
        <v>40</v>
      </c>
      <c r="G610">
        <v>640</v>
      </c>
      <c r="H610">
        <v>0.09</v>
      </c>
      <c r="I610">
        <v>57.599999999999994</v>
      </c>
      <c r="J610" t="s">
        <v>33</v>
      </c>
    </row>
    <row r="611" spans="1:10" x14ac:dyDescent="0.45">
      <c r="A611" t="s">
        <v>671</v>
      </c>
      <c r="B611" t="s">
        <v>338</v>
      </c>
      <c r="C611" t="s">
        <v>16</v>
      </c>
      <c r="D611" t="s">
        <v>25</v>
      </c>
      <c r="E611">
        <v>4</v>
      </c>
      <c r="F611">
        <v>40</v>
      </c>
      <c r="G611">
        <v>160</v>
      </c>
      <c r="H611">
        <v>0.06</v>
      </c>
      <c r="I611">
        <v>9.6</v>
      </c>
      <c r="J611" t="s">
        <v>36</v>
      </c>
    </row>
    <row r="612" spans="1:10" x14ac:dyDescent="0.45">
      <c r="A612" t="s">
        <v>672</v>
      </c>
      <c r="B612" t="s">
        <v>338</v>
      </c>
      <c r="C612" t="s">
        <v>16</v>
      </c>
      <c r="D612" t="s">
        <v>25</v>
      </c>
      <c r="E612">
        <v>20</v>
      </c>
      <c r="F612">
        <v>40</v>
      </c>
      <c r="G612">
        <v>800</v>
      </c>
      <c r="H612">
        <v>0.01</v>
      </c>
      <c r="I612">
        <v>8</v>
      </c>
      <c r="J612" t="s">
        <v>38</v>
      </c>
    </row>
    <row r="613" spans="1:10" x14ac:dyDescent="0.45">
      <c r="A613" t="s">
        <v>673</v>
      </c>
      <c r="B613" t="s">
        <v>338</v>
      </c>
      <c r="C613" t="s">
        <v>16</v>
      </c>
      <c r="D613" t="s">
        <v>25</v>
      </c>
      <c r="E613">
        <v>4</v>
      </c>
      <c r="F613">
        <v>40</v>
      </c>
      <c r="G613">
        <v>160</v>
      </c>
      <c r="H613">
        <v>0.1</v>
      </c>
      <c r="I613">
        <v>16</v>
      </c>
      <c r="J613" t="s">
        <v>40</v>
      </c>
    </row>
    <row r="614" spans="1:10" x14ac:dyDescent="0.45">
      <c r="A614" t="s">
        <v>674</v>
      </c>
      <c r="B614" t="s">
        <v>338</v>
      </c>
      <c r="C614" t="s">
        <v>12</v>
      </c>
      <c r="D614" t="s">
        <v>17</v>
      </c>
      <c r="E614">
        <v>14</v>
      </c>
      <c r="F614">
        <v>80</v>
      </c>
      <c r="G614">
        <v>1120</v>
      </c>
      <c r="H614">
        <v>0.06</v>
      </c>
      <c r="I614">
        <v>67.2</v>
      </c>
      <c r="J614" t="s">
        <v>33</v>
      </c>
    </row>
    <row r="615" spans="1:10" x14ac:dyDescent="0.45">
      <c r="A615" t="s">
        <v>675</v>
      </c>
      <c r="B615" t="s">
        <v>338</v>
      </c>
      <c r="C615" t="s">
        <v>35</v>
      </c>
      <c r="D615" t="s">
        <v>17</v>
      </c>
      <c r="E615">
        <v>15</v>
      </c>
      <c r="F615">
        <v>150</v>
      </c>
      <c r="G615">
        <v>2250</v>
      </c>
      <c r="H615">
        <v>0.02</v>
      </c>
      <c r="I615">
        <v>45</v>
      </c>
      <c r="J615" t="s">
        <v>36</v>
      </c>
    </row>
    <row r="616" spans="1:10" x14ac:dyDescent="0.45">
      <c r="A616" t="s">
        <v>676</v>
      </c>
      <c r="B616" t="s">
        <v>338</v>
      </c>
      <c r="C616" t="s">
        <v>12</v>
      </c>
      <c r="D616" t="s">
        <v>25</v>
      </c>
      <c r="E616">
        <v>14</v>
      </c>
      <c r="F616">
        <v>80</v>
      </c>
      <c r="G616">
        <v>1120</v>
      </c>
      <c r="H616">
        <v>0.1</v>
      </c>
      <c r="I616">
        <v>112</v>
      </c>
      <c r="J616" t="s">
        <v>38</v>
      </c>
    </row>
    <row r="617" spans="1:10" x14ac:dyDescent="0.45">
      <c r="A617" t="s">
        <v>677</v>
      </c>
      <c r="B617" t="s">
        <v>338</v>
      </c>
      <c r="C617" t="s">
        <v>35</v>
      </c>
      <c r="D617" t="s">
        <v>13</v>
      </c>
      <c r="E617">
        <v>20</v>
      </c>
      <c r="F617">
        <v>150</v>
      </c>
      <c r="G617">
        <v>3000</v>
      </c>
      <c r="H617">
        <v>0.04</v>
      </c>
      <c r="I617">
        <v>120</v>
      </c>
      <c r="J617" t="s">
        <v>40</v>
      </c>
    </row>
    <row r="618" spans="1:10" x14ac:dyDescent="0.45">
      <c r="A618" t="s">
        <v>678</v>
      </c>
      <c r="B618" t="s">
        <v>338</v>
      </c>
      <c r="C618" t="s">
        <v>12</v>
      </c>
      <c r="D618" t="s">
        <v>32</v>
      </c>
      <c r="E618">
        <v>22</v>
      </c>
      <c r="F618">
        <v>80</v>
      </c>
      <c r="G618">
        <v>1760</v>
      </c>
      <c r="H618">
        <v>0.1</v>
      </c>
      <c r="I618">
        <v>176</v>
      </c>
      <c r="J618" t="s">
        <v>33</v>
      </c>
    </row>
    <row r="619" spans="1:10" x14ac:dyDescent="0.45">
      <c r="A619" t="s">
        <v>679</v>
      </c>
      <c r="B619" t="s">
        <v>338</v>
      </c>
      <c r="C619" t="s">
        <v>20</v>
      </c>
      <c r="D619" t="s">
        <v>32</v>
      </c>
      <c r="E619">
        <v>20</v>
      </c>
      <c r="F619">
        <v>230</v>
      </c>
      <c r="G619">
        <v>4600</v>
      </c>
      <c r="H619">
        <v>0.09</v>
      </c>
      <c r="I619">
        <v>414</v>
      </c>
      <c r="J619" t="s">
        <v>36</v>
      </c>
    </row>
    <row r="620" spans="1:10" x14ac:dyDescent="0.45">
      <c r="A620" t="s">
        <v>680</v>
      </c>
      <c r="B620" t="s">
        <v>338</v>
      </c>
      <c r="C620" t="s">
        <v>20</v>
      </c>
      <c r="D620" t="s">
        <v>25</v>
      </c>
      <c r="E620">
        <v>12</v>
      </c>
      <c r="F620">
        <v>230</v>
      </c>
      <c r="G620">
        <v>2760</v>
      </c>
      <c r="H620">
        <v>0.03</v>
      </c>
      <c r="I620">
        <v>82.8</v>
      </c>
      <c r="J620" t="s">
        <v>38</v>
      </c>
    </row>
    <row r="621" spans="1:10" x14ac:dyDescent="0.45">
      <c r="A621" t="s">
        <v>681</v>
      </c>
      <c r="B621" t="s">
        <v>350</v>
      </c>
      <c r="C621" t="s">
        <v>12</v>
      </c>
      <c r="D621" t="s">
        <v>13</v>
      </c>
      <c r="E621">
        <v>21</v>
      </c>
      <c r="F621">
        <v>80</v>
      </c>
      <c r="G621">
        <v>1680</v>
      </c>
      <c r="H621">
        <v>0.04</v>
      </c>
      <c r="I621">
        <v>67.2</v>
      </c>
      <c r="J621" t="s">
        <v>40</v>
      </c>
    </row>
    <row r="622" spans="1:10" x14ac:dyDescent="0.45">
      <c r="A622" t="s">
        <v>682</v>
      </c>
      <c r="B622" t="s">
        <v>350</v>
      </c>
      <c r="C622" t="s">
        <v>16</v>
      </c>
      <c r="D622" t="s">
        <v>17</v>
      </c>
      <c r="E622">
        <v>15</v>
      </c>
      <c r="F622">
        <v>40</v>
      </c>
      <c r="G622">
        <v>600</v>
      </c>
      <c r="H622">
        <v>0.04</v>
      </c>
      <c r="I622">
        <v>24</v>
      </c>
      <c r="J622" t="s">
        <v>33</v>
      </c>
    </row>
    <row r="623" spans="1:10" x14ac:dyDescent="0.45">
      <c r="A623" t="s">
        <v>683</v>
      </c>
      <c r="B623" t="s">
        <v>350</v>
      </c>
      <c r="C623" t="s">
        <v>12</v>
      </c>
      <c r="D623" t="s">
        <v>28</v>
      </c>
      <c r="E623">
        <v>16</v>
      </c>
      <c r="F623">
        <v>80</v>
      </c>
      <c r="G623">
        <v>1280</v>
      </c>
      <c r="H623">
        <v>0.1</v>
      </c>
      <c r="I623">
        <v>128</v>
      </c>
      <c r="J623" t="s">
        <v>36</v>
      </c>
    </row>
    <row r="624" spans="1:10" x14ac:dyDescent="0.45">
      <c r="A624" t="s">
        <v>684</v>
      </c>
      <c r="B624" t="s">
        <v>350</v>
      </c>
      <c r="C624" t="s">
        <v>20</v>
      </c>
      <c r="D624" t="s">
        <v>32</v>
      </c>
      <c r="E624">
        <v>17</v>
      </c>
      <c r="F624">
        <v>230</v>
      </c>
      <c r="G624">
        <v>3910</v>
      </c>
      <c r="H624">
        <v>0.11</v>
      </c>
      <c r="I624">
        <v>430.1</v>
      </c>
      <c r="J624" t="s">
        <v>38</v>
      </c>
    </row>
    <row r="625" spans="1:10" x14ac:dyDescent="0.45">
      <c r="A625" t="s">
        <v>685</v>
      </c>
      <c r="B625" t="s">
        <v>350</v>
      </c>
      <c r="C625" t="s">
        <v>20</v>
      </c>
      <c r="D625" t="s">
        <v>32</v>
      </c>
      <c r="E625">
        <v>5</v>
      </c>
      <c r="F625">
        <v>230</v>
      </c>
      <c r="G625">
        <v>1150</v>
      </c>
      <c r="H625">
        <v>0.12</v>
      </c>
      <c r="I625">
        <v>138</v>
      </c>
      <c r="J625" t="s">
        <v>40</v>
      </c>
    </row>
    <row r="626" spans="1:10" x14ac:dyDescent="0.45">
      <c r="A626" t="s">
        <v>686</v>
      </c>
      <c r="B626" t="s">
        <v>350</v>
      </c>
      <c r="C626" t="s">
        <v>31</v>
      </c>
      <c r="D626" t="s">
        <v>13</v>
      </c>
      <c r="E626">
        <v>20</v>
      </c>
      <c r="F626">
        <v>16</v>
      </c>
      <c r="G626">
        <v>320</v>
      </c>
      <c r="H626">
        <v>0.01</v>
      </c>
      <c r="I626">
        <v>3.2</v>
      </c>
      <c r="J626" t="s">
        <v>33</v>
      </c>
    </row>
    <row r="627" spans="1:10" x14ac:dyDescent="0.45">
      <c r="A627" t="s">
        <v>687</v>
      </c>
      <c r="B627" t="s">
        <v>350</v>
      </c>
      <c r="C627" t="s">
        <v>20</v>
      </c>
      <c r="D627" t="s">
        <v>13</v>
      </c>
      <c r="E627">
        <v>5</v>
      </c>
      <c r="F627">
        <v>230</v>
      </c>
      <c r="G627">
        <v>1150</v>
      </c>
      <c r="H627">
        <v>0.1</v>
      </c>
      <c r="I627">
        <v>115</v>
      </c>
      <c r="J627" t="s">
        <v>36</v>
      </c>
    </row>
    <row r="628" spans="1:10" x14ac:dyDescent="0.45">
      <c r="A628" t="s">
        <v>688</v>
      </c>
      <c r="B628" t="s">
        <v>350</v>
      </c>
      <c r="C628" t="s">
        <v>16</v>
      </c>
      <c r="D628" t="s">
        <v>17</v>
      </c>
      <c r="E628">
        <v>8</v>
      </c>
      <c r="F628">
        <v>40</v>
      </c>
      <c r="G628">
        <v>320</v>
      </c>
      <c r="H628">
        <v>0.09</v>
      </c>
      <c r="I628">
        <v>28.799999999999997</v>
      </c>
      <c r="J628" t="s">
        <v>38</v>
      </c>
    </row>
    <row r="629" spans="1:10" x14ac:dyDescent="0.45">
      <c r="A629" t="s">
        <v>689</v>
      </c>
      <c r="B629" t="s">
        <v>350</v>
      </c>
      <c r="C629" t="s">
        <v>31</v>
      </c>
      <c r="D629" t="s">
        <v>13</v>
      </c>
      <c r="E629">
        <v>7</v>
      </c>
      <c r="F629">
        <v>16</v>
      </c>
      <c r="G629">
        <v>112</v>
      </c>
      <c r="H629">
        <v>0.02</v>
      </c>
      <c r="I629">
        <v>2.2400000000000002</v>
      </c>
      <c r="J629" t="s">
        <v>40</v>
      </c>
    </row>
    <row r="630" spans="1:10" x14ac:dyDescent="0.45">
      <c r="A630" t="s">
        <v>690</v>
      </c>
      <c r="B630" t="s">
        <v>350</v>
      </c>
      <c r="C630" t="s">
        <v>35</v>
      </c>
      <c r="D630" t="s">
        <v>28</v>
      </c>
      <c r="E630">
        <v>15</v>
      </c>
      <c r="F630">
        <v>150</v>
      </c>
      <c r="G630">
        <v>2250</v>
      </c>
      <c r="H630">
        <v>0.08</v>
      </c>
      <c r="I630">
        <v>180</v>
      </c>
      <c r="J630" t="s">
        <v>33</v>
      </c>
    </row>
    <row r="631" spans="1:10" x14ac:dyDescent="0.45">
      <c r="A631" t="s">
        <v>691</v>
      </c>
      <c r="B631" t="s">
        <v>350</v>
      </c>
      <c r="C631" t="s">
        <v>20</v>
      </c>
      <c r="D631" t="s">
        <v>32</v>
      </c>
      <c r="E631">
        <v>20</v>
      </c>
      <c r="F631">
        <v>230</v>
      </c>
      <c r="G631">
        <v>4600</v>
      </c>
      <c r="H631">
        <v>0.11</v>
      </c>
      <c r="I631">
        <v>506</v>
      </c>
      <c r="J631" t="s">
        <v>36</v>
      </c>
    </row>
    <row r="632" spans="1:10" x14ac:dyDescent="0.45">
      <c r="A632" t="s">
        <v>692</v>
      </c>
      <c r="B632" t="s">
        <v>350</v>
      </c>
      <c r="C632" t="s">
        <v>31</v>
      </c>
      <c r="D632" t="s">
        <v>17</v>
      </c>
      <c r="E632">
        <v>4</v>
      </c>
      <c r="F632">
        <v>16</v>
      </c>
      <c r="G632">
        <v>64</v>
      </c>
      <c r="H632">
        <v>0.09</v>
      </c>
      <c r="I632">
        <v>5.76</v>
      </c>
      <c r="J632" t="s">
        <v>38</v>
      </c>
    </row>
    <row r="633" spans="1:10" x14ac:dyDescent="0.45">
      <c r="A633" t="s">
        <v>693</v>
      </c>
      <c r="B633" t="s">
        <v>350</v>
      </c>
      <c r="C633" t="s">
        <v>16</v>
      </c>
      <c r="D633" t="s">
        <v>28</v>
      </c>
      <c r="E633">
        <v>11</v>
      </c>
      <c r="F633">
        <v>40</v>
      </c>
      <c r="G633">
        <v>440</v>
      </c>
      <c r="H633">
        <v>0.09</v>
      </c>
      <c r="I633">
        <v>39.6</v>
      </c>
      <c r="J633" t="s">
        <v>40</v>
      </c>
    </row>
    <row r="634" spans="1:10" x14ac:dyDescent="0.45">
      <c r="A634" t="s">
        <v>694</v>
      </c>
      <c r="B634" t="s">
        <v>350</v>
      </c>
      <c r="C634" t="s">
        <v>35</v>
      </c>
      <c r="D634" t="s">
        <v>25</v>
      </c>
      <c r="E634">
        <v>15</v>
      </c>
      <c r="F634">
        <v>150</v>
      </c>
      <c r="G634">
        <v>2250</v>
      </c>
      <c r="H634">
        <v>0.05</v>
      </c>
      <c r="I634">
        <v>112.5</v>
      </c>
      <c r="J634" t="s">
        <v>33</v>
      </c>
    </row>
    <row r="635" spans="1:10" x14ac:dyDescent="0.45">
      <c r="A635" t="s">
        <v>695</v>
      </c>
      <c r="B635" t="s">
        <v>350</v>
      </c>
      <c r="C635" t="s">
        <v>20</v>
      </c>
      <c r="D635" t="s">
        <v>25</v>
      </c>
      <c r="E635">
        <v>5</v>
      </c>
      <c r="F635">
        <v>230</v>
      </c>
      <c r="G635">
        <v>1150</v>
      </c>
      <c r="H635">
        <v>0.01</v>
      </c>
      <c r="I635">
        <v>11.5</v>
      </c>
      <c r="J635" t="s">
        <v>36</v>
      </c>
    </row>
    <row r="636" spans="1:10" x14ac:dyDescent="0.45">
      <c r="A636" t="s">
        <v>696</v>
      </c>
      <c r="B636" t="s">
        <v>350</v>
      </c>
      <c r="C636" t="s">
        <v>20</v>
      </c>
      <c r="D636" t="s">
        <v>25</v>
      </c>
      <c r="E636">
        <v>14</v>
      </c>
      <c r="F636">
        <v>230</v>
      </c>
      <c r="G636">
        <v>3220</v>
      </c>
      <c r="H636">
        <v>0.03</v>
      </c>
      <c r="I636">
        <v>96.6</v>
      </c>
      <c r="J636" t="s">
        <v>38</v>
      </c>
    </row>
    <row r="637" spans="1:10" x14ac:dyDescent="0.45">
      <c r="A637" t="s">
        <v>697</v>
      </c>
      <c r="B637" t="s">
        <v>350</v>
      </c>
      <c r="C637" t="s">
        <v>16</v>
      </c>
      <c r="D637" t="s">
        <v>32</v>
      </c>
      <c r="E637">
        <v>23</v>
      </c>
      <c r="F637">
        <v>40</v>
      </c>
      <c r="G637">
        <v>920</v>
      </c>
      <c r="H637">
        <v>0.05</v>
      </c>
      <c r="I637">
        <v>46</v>
      </c>
      <c r="J637" t="s">
        <v>40</v>
      </c>
    </row>
    <row r="638" spans="1:10" x14ac:dyDescent="0.45">
      <c r="A638" t="s">
        <v>698</v>
      </c>
      <c r="B638" t="s">
        <v>350</v>
      </c>
      <c r="C638" t="s">
        <v>12</v>
      </c>
      <c r="D638" t="s">
        <v>28</v>
      </c>
      <c r="E638">
        <v>22</v>
      </c>
      <c r="F638">
        <v>80</v>
      </c>
      <c r="G638">
        <v>1760</v>
      </c>
      <c r="H638">
        <v>0.03</v>
      </c>
      <c r="I638">
        <v>52.8</v>
      </c>
      <c r="J638" t="s">
        <v>33</v>
      </c>
    </row>
    <row r="639" spans="1:10" x14ac:dyDescent="0.45">
      <c r="A639" t="s">
        <v>699</v>
      </c>
      <c r="B639" t="s">
        <v>359</v>
      </c>
      <c r="C639" t="s">
        <v>20</v>
      </c>
      <c r="D639" t="s">
        <v>25</v>
      </c>
      <c r="E639">
        <v>20</v>
      </c>
      <c r="F639">
        <v>230</v>
      </c>
      <c r="G639">
        <v>4600</v>
      </c>
      <c r="H639">
        <v>0.06</v>
      </c>
      <c r="I639">
        <v>276</v>
      </c>
      <c r="J639" t="s">
        <v>36</v>
      </c>
    </row>
    <row r="640" spans="1:10" x14ac:dyDescent="0.45">
      <c r="A640" t="s">
        <v>700</v>
      </c>
      <c r="B640" t="s">
        <v>359</v>
      </c>
      <c r="C640" t="s">
        <v>20</v>
      </c>
      <c r="D640" t="s">
        <v>17</v>
      </c>
      <c r="E640">
        <v>15</v>
      </c>
      <c r="F640">
        <v>230</v>
      </c>
      <c r="G640">
        <v>3450</v>
      </c>
      <c r="H640">
        <v>0.09</v>
      </c>
      <c r="I640">
        <v>310.5</v>
      </c>
      <c r="J640" t="s">
        <v>38</v>
      </c>
    </row>
    <row r="641" spans="1:10" x14ac:dyDescent="0.45">
      <c r="A641" t="s">
        <v>701</v>
      </c>
      <c r="B641" t="s">
        <v>359</v>
      </c>
      <c r="C641" t="s">
        <v>35</v>
      </c>
      <c r="D641" t="s">
        <v>25</v>
      </c>
      <c r="E641">
        <v>18</v>
      </c>
      <c r="F641">
        <v>150</v>
      </c>
      <c r="G641">
        <v>2700</v>
      </c>
      <c r="H641">
        <v>0.06</v>
      </c>
      <c r="I641">
        <v>162</v>
      </c>
      <c r="J641" t="s">
        <v>40</v>
      </c>
    </row>
    <row r="642" spans="1:10" x14ac:dyDescent="0.45">
      <c r="A642" t="s">
        <v>702</v>
      </c>
      <c r="B642" t="s">
        <v>359</v>
      </c>
      <c r="C642" t="s">
        <v>20</v>
      </c>
      <c r="D642" t="s">
        <v>13</v>
      </c>
      <c r="E642">
        <v>3</v>
      </c>
      <c r="F642">
        <v>230</v>
      </c>
      <c r="G642">
        <v>690</v>
      </c>
      <c r="H642">
        <v>0.11</v>
      </c>
      <c r="I642">
        <v>75.900000000000006</v>
      </c>
      <c r="J642" t="s">
        <v>33</v>
      </c>
    </row>
    <row r="643" spans="1:10" x14ac:dyDescent="0.45">
      <c r="A643" t="s">
        <v>703</v>
      </c>
      <c r="B643" t="s">
        <v>359</v>
      </c>
      <c r="C643" t="s">
        <v>35</v>
      </c>
      <c r="D643" t="s">
        <v>32</v>
      </c>
      <c r="E643">
        <v>11</v>
      </c>
      <c r="F643">
        <v>150</v>
      </c>
      <c r="G643">
        <v>1650</v>
      </c>
      <c r="H643">
        <v>0.09</v>
      </c>
      <c r="I643">
        <v>148.5</v>
      </c>
      <c r="J643" t="s">
        <v>36</v>
      </c>
    </row>
    <row r="644" spans="1:10" x14ac:dyDescent="0.45">
      <c r="A644" t="s">
        <v>704</v>
      </c>
      <c r="B644" t="s">
        <v>359</v>
      </c>
      <c r="C644" t="s">
        <v>20</v>
      </c>
      <c r="D644" t="s">
        <v>13</v>
      </c>
      <c r="E644">
        <v>11</v>
      </c>
      <c r="F644">
        <v>230</v>
      </c>
      <c r="G644">
        <v>2530</v>
      </c>
      <c r="H644">
        <v>0.02</v>
      </c>
      <c r="I644">
        <v>50.6</v>
      </c>
      <c r="J644" t="s">
        <v>38</v>
      </c>
    </row>
    <row r="645" spans="1:10" x14ac:dyDescent="0.45">
      <c r="A645" t="s">
        <v>705</v>
      </c>
      <c r="B645" t="s">
        <v>359</v>
      </c>
      <c r="C645" t="s">
        <v>20</v>
      </c>
      <c r="D645" t="s">
        <v>32</v>
      </c>
      <c r="E645">
        <v>13</v>
      </c>
      <c r="F645">
        <v>230</v>
      </c>
      <c r="G645">
        <v>2990</v>
      </c>
      <c r="H645">
        <v>0.06</v>
      </c>
      <c r="I645">
        <v>179.4</v>
      </c>
      <c r="J645" t="s">
        <v>40</v>
      </c>
    </row>
    <row r="646" spans="1:10" x14ac:dyDescent="0.45">
      <c r="A646" t="s">
        <v>706</v>
      </c>
      <c r="B646" t="s">
        <v>369</v>
      </c>
      <c r="C646" t="s">
        <v>12</v>
      </c>
      <c r="D646" t="s">
        <v>28</v>
      </c>
      <c r="E646">
        <v>11</v>
      </c>
      <c r="F646">
        <v>80</v>
      </c>
      <c r="G646">
        <v>880</v>
      </c>
      <c r="H646">
        <v>0.01</v>
      </c>
      <c r="I646">
        <v>8.8000000000000007</v>
      </c>
      <c r="J646" t="s">
        <v>33</v>
      </c>
    </row>
    <row r="647" spans="1:10" x14ac:dyDescent="0.45">
      <c r="A647" t="s">
        <v>707</v>
      </c>
      <c r="B647" t="s">
        <v>369</v>
      </c>
      <c r="C647" t="s">
        <v>12</v>
      </c>
      <c r="D647" t="s">
        <v>32</v>
      </c>
      <c r="E647">
        <v>17</v>
      </c>
      <c r="F647">
        <v>80</v>
      </c>
      <c r="G647">
        <v>1360</v>
      </c>
      <c r="H647">
        <v>7.0000000000000007E-2</v>
      </c>
      <c r="I647">
        <v>95.2</v>
      </c>
      <c r="J647" t="s">
        <v>36</v>
      </c>
    </row>
    <row r="648" spans="1:10" x14ac:dyDescent="0.45">
      <c r="A648" t="s">
        <v>708</v>
      </c>
      <c r="B648" t="s">
        <v>369</v>
      </c>
      <c r="C648" t="s">
        <v>35</v>
      </c>
      <c r="D648" t="s">
        <v>32</v>
      </c>
      <c r="E648">
        <v>15</v>
      </c>
      <c r="F648">
        <v>150</v>
      </c>
      <c r="G648">
        <v>2250</v>
      </c>
      <c r="H648">
        <v>7.0000000000000007E-2</v>
      </c>
      <c r="I648">
        <v>157.50000000000003</v>
      </c>
      <c r="J648" t="s">
        <v>38</v>
      </c>
    </row>
    <row r="649" spans="1:10" x14ac:dyDescent="0.45">
      <c r="A649" t="s">
        <v>709</v>
      </c>
      <c r="B649" t="s">
        <v>369</v>
      </c>
      <c r="C649" t="s">
        <v>31</v>
      </c>
      <c r="D649" t="s">
        <v>32</v>
      </c>
      <c r="E649">
        <v>14</v>
      </c>
      <c r="F649">
        <v>16</v>
      </c>
      <c r="G649">
        <v>224</v>
      </c>
      <c r="H649">
        <v>0.06</v>
      </c>
      <c r="I649">
        <v>13.44</v>
      </c>
      <c r="J649" t="s">
        <v>40</v>
      </c>
    </row>
    <row r="650" spans="1:10" x14ac:dyDescent="0.45">
      <c r="A650" t="s">
        <v>710</v>
      </c>
      <c r="B650" t="s">
        <v>369</v>
      </c>
      <c r="C650" t="s">
        <v>31</v>
      </c>
      <c r="D650" t="s">
        <v>17</v>
      </c>
      <c r="E650">
        <v>4</v>
      </c>
      <c r="F650">
        <v>16</v>
      </c>
      <c r="G650">
        <v>64</v>
      </c>
      <c r="H650">
        <v>7.0000000000000007E-2</v>
      </c>
      <c r="I650">
        <v>4.4800000000000004</v>
      </c>
      <c r="J650" t="s">
        <v>33</v>
      </c>
    </row>
    <row r="651" spans="1:10" x14ac:dyDescent="0.45">
      <c r="A651" t="s">
        <v>711</v>
      </c>
      <c r="B651" t="s">
        <v>369</v>
      </c>
      <c r="C651" t="s">
        <v>35</v>
      </c>
      <c r="D651" t="s">
        <v>32</v>
      </c>
      <c r="E651">
        <v>23</v>
      </c>
      <c r="F651">
        <v>150</v>
      </c>
      <c r="G651">
        <v>3450</v>
      </c>
      <c r="H651">
        <v>0.08</v>
      </c>
      <c r="I651">
        <v>276</v>
      </c>
      <c r="J651" t="s">
        <v>36</v>
      </c>
    </row>
    <row r="652" spans="1:10" x14ac:dyDescent="0.45">
      <c r="A652" t="s">
        <v>712</v>
      </c>
      <c r="B652" t="s">
        <v>369</v>
      </c>
      <c r="C652" t="s">
        <v>12</v>
      </c>
      <c r="D652" t="s">
        <v>25</v>
      </c>
      <c r="E652">
        <v>10</v>
      </c>
      <c r="F652">
        <v>80</v>
      </c>
      <c r="G652">
        <v>800</v>
      </c>
      <c r="H652">
        <v>0.11</v>
      </c>
      <c r="I652">
        <v>88</v>
      </c>
      <c r="J652" t="s">
        <v>38</v>
      </c>
    </row>
    <row r="653" spans="1:10" x14ac:dyDescent="0.45">
      <c r="A653" t="s">
        <v>713</v>
      </c>
      <c r="B653" t="s">
        <v>369</v>
      </c>
      <c r="C653" t="s">
        <v>20</v>
      </c>
      <c r="D653" t="s">
        <v>25</v>
      </c>
      <c r="E653">
        <v>7</v>
      </c>
      <c r="F653">
        <v>230</v>
      </c>
      <c r="G653">
        <v>1610</v>
      </c>
      <c r="H653">
        <v>0.01</v>
      </c>
      <c r="I653">
        <v>16.100000000000001</v>
      </c>
      <c r="J653" t="s">
        <v>40</v>
      </c>
    </row>
    <row r="654" spans="1:10" x14ac:dyDescent="0.45">
      <c r="A654" t="s">
        <v>714</v>
      </c>
      <c r="B654" t="s">
        <v>369</v>
      </c>
      <c r="C654" t="s">
        <v>20</v>
      </c>
      <c r="D654" t="s">
        <v>13</v>
      </c>
      <c r="E654">
        <v>16</v>
      </c>
      <c r="F654">
        <v>230</v>
      </c>
      <c r="G654">
        <v>3680</v>
      </c>
      <c r="H654">
        <v>7.0000000000000007E-2</v>
      </c>
      <c r="I654">
        <v>257.60000000000002</v>
      </c>
      <c r="J654" t="s">
        <v>33</v>
      </c>
    </row>
    <row r="655" spans="1:10" x14ac:dyDescent="0.45">
      <c r="A655" t="s">
        <v>715</v>
      </c>
      <c r="B655" t="s">
        <v>369</v>
      </c>
      <c r="C655" t="s">
        <v>31</v>
      </c>
      <c r="D655" t="s">
        <v>32</v>
      </c>
      <c r="E655">
        <v>17</v>
      </c>
      <c r="F655">
        <v>16</v>
      </c>
      <c r="G655">
        <v>272</v>
      </c>
      <c r="H655">
        <v>0.08</v>
      </c>
      <c r="I655">
        <v>21.76</v>
      </c>
      <c r="J655" t="s">
        <v>36</v>
      </c>
    </row>
    <row r="656" spans="1:10" x14ac:dyDescent="0.45">
      <c r="A656" t="s">
        <v>716</v>
      </c>
      <c r="B656" t="s">
        <v>377</v>
      </c>
      <c r="C656" t="s">
        <v>12</v>
      </c>
      <c r="D656" t="s">
        <v>32</v>
      </c>
      <c r="E656">
        <v>6</v>
      </c>
      <c r="F656">
        <v>80</v>
      </c>
      <c r="G656">
        <v>480</v>
      </c>
      <c r="H656">
        <v>0.09</v>
      </c>
      <c r="I656">
        <v>43.199999999999996</v>
      </c>
      <c r="J656" t="s">
        <v>38</v>
      </c>
    </row>
    <row r="657" spans="1:10" x14ac:dyDescent="0.45">
      <c r="A657" t="s">
        <v>717</v>
      </c>
      <c r="B657" t="s">
        <v>377</v>
      </c>
      <c r="C657" t="s">
        <v>35</v>
      </c>
      <c r="D657" t="s">
        <v>25</v>
      </c>
      <c r="E657">
        <v>22</v>
      </c>
      <c r="F657">
        <v>150</v>
      </c>
      <c r="G657">
        <v>3300</v>
      </c>
      <c r="H657">
        <v>0.04</v>
      </c>
      <c r="I657">
        <v>132</v>
      </c>
      <c r="J657" t="s">
        <v>40</v>
      </c>
    </row>
    <row r="658" spans="1:10" x14ac:dyDescent="0.45">
      <c r="A658" t="s">
        <v>718</v>
      </c>
      <c r="B658" t="s">
        <v>377</v>
      </c>
      <c r="C658" t="s">
        <v>16</v>
      </c>
      <c r="D658" t="s">
        <v>32</v>
      </c>
      <c r="E658">
        <v>20</v>
      </c>
      <c r="F658">
        <v>40</v>
      </c>
      <c r="G658">
        <v>800</v>
      </c>
      <c r="H658">
        <v>0.03</v>
      </c>
      <c r="I658">
        <v>24</v>
      </c>
      <c r="J658" t="s">
        <v>33</v>
      </c>
    </row>
    <row r="659" spans="1:10" x14ac:dyDescent="0.45">
      <c r="A659" t="s">
        <v>719</v>
      </c>
      <c r="B659" t="s">
        <v>377</v>
      </c>
      <c r="C659" t="s">
        <v>35</v>
      </c>
      <c r="D659" t="s">
        <v>17</v>
      </c>
      <c r="E659">
        <v>16</v>
      </c>
      <c r="F659">
        <v>150</v>
      </c>
      <c r="G659">
        <v>2400</v>
      </c>
      <c r="H659">
        <v>0.08</v>
      </c>
      <c r="I659">
        <v>192</v>
      </c>
      <c r="J659" t="s">
        <v>36</v>
      </c>
    </row>
    <row r="660" spans="1:10" x14ac:dyDescent="0.45">
      <c r="A660" t="s">
        <v>720</v>
      </c>
      <c r="B660" t="s">
        <v>377</v>
      </c>
      <c r="C660" t="s">
        <v>12</v>
      </c>
      <c r="D660" t="s">
        <v>17</v>
      </c>
      <c r="E660">
        <v>5</v>
      </c>
      <c r="F660">
        <v>80</v>
      </c>
      <c r="G660">
        <v>400</v>
      </c>
      <c r="H660">
        <v>7.0000000000000007E-2</v>
      </c>
      <c r="I660">
        <v>28.000000000000004</v>
      </c>
      <c r="J660" t="s">
        <v>38</v>
      </c>
    </row>
    <row r="661" spans="1:10" x14ac:dyDescent="0.45">
      <c r="A661" t="s">
        <v>721</v>
      </c>
      <c r="B661" t="s">
        <v>377</v>
      </c>
      <c r="C661" t="s">
        <v>35</v>
      </c>
      <c r="D661" t="s">
        <v>28</v>
      </c>
      <c r="E661">
        <v>6</v>
      </c>
      <c r="F661">
        <v>150</v>
      </c>
      <c r="G661">
        <v>900</v>
      </c>
      <c r="H661">
        <v>0.03</v>
      </c>
      <c r="I661">
        <v>27</v>
      </c>
      <c r="J661" t="s">
        <v>40</v>
      </c>
    </row>
    <row r="662" spans="1:10" x14ac:dyDescent="0.45">
      <c r="A662" t="s">
        <v>722</v>
      </c>
      <c r="B662" t="s">
        <v>723</v>
      </c>
      <c r="C662" t="s">
        <v>12</v>
      </c>
      <c r="D662" t="s">
        <v>17</v>
      </c>
      <c r="E662">
        <v>9</v>
      </c>
      <c r="F662">
        <v>80</v>
      </c>
      <c r="G662">
        <v>720</v>
      </c>
      <c r="H662">
        <v>0.03</v>
      </c>
      <c r="I662">
        <v>21.599999999999998</v>
      </c>
      <c r="J662" t="s">
        <v>33</v>
      </c>
    </row>
    <row r="663" spans="1:10" x14ac:dyDescent="0.45">
      <c r="A663" t="s">
        <v>724</v>
      </c>
      <c r="B663" t="s">
        <v>723</v>
      </c>
      <c r="C663" t="s">
        <v>12</v>
      </c>
      <c r="D663" t="s">
        <v>13</v>
      </c>
      <c r="E663">
        <v>8</v>
      </c>
      <c r="F663">
        <v>80</v>
      </c>
      <c r="G663">
        <v>640</v>
      </c>
      <c r="H663">
        <v>0.08</v>
      </c>
      <c r="I663">
        <v>51.2</v>
      </c>
      <c r="J663" t="s">
        <v>36</v>
      </c>
    </row>
    <row r="664" spans="1:10" x14ac:dyDescent="0.45">
      <c r="A664" t="s">
        <v>725</v>
      </c>
      <c r="B664" t="s">
        <v>723</v>
      </c>
      <c r="C664" t="s">
        <v>20</v>
      </c>
      <c r="D664" t="s">
        <v>28</v>
      </c>
      <c r="E664">
        <v>8</v>
      </c>
      <c r="F664">
        <v>230</v>
      </c>
      <c r="G664">
        <v>1840</v>
      </c>
      <c r="H664">
        <v>0.01</v>
      </c>
      <c r="I664">
        <v>18.400000000000002</v>
      </c>
      <c r="J664" t="s">
        <v>38</v>
      </c>
    </row>
    <row r="665" spans="1:10" x14ac:dyDescent="0.45">
      <c r="A665" t="s">
        <v>726</v>
      </c>
      <c r="B665" t="s">
        <v>723</v>
      </c>
      <c r="C665" t="s">
        <v>31</v>
      </c>
      <c r="D665" t="s">
        <v>32</v>
      </c>
      <c r="E665">
        <v>12</v>
      </c>
      <c r="F665">
        <v>16</v>
      </c>
      <c r="G665">
        <v>192</v>
      </c>
      <c r="H665">
        <v>0.04</v>
      </c>
      <c r="I665">
        <v>7.68</v>
      </c>
      <c r="J665" t="s">
        <v>40</v>
      </c>
    </row>
    <row r="666" spans="1:10" x14ac:dyDescent="0.45">
      <c r="A666" t="s">
        <v>727</v>
      </c>
      <c r="B666" t="s">
        <v>723</v>
      </c>
      <c r="C666" t="s">
        <v>31</v>
      </c>
      <c r="D666" t="s">
        <v>28</v>
      </c>
      <c r="E666">
        <v>18</v>
      </c>
      <c r="F666">
        <v>16</v>
      </c>
      <c r="G666">
        <v>288</v>
      </c>
      <c r="H666">
        <v>0.04</v>
      </c>
      <c r="I666">
        <v>11.52</v>
      </c>
      <c r="J666" t="s">
        <v>33</v>
      </c>
    </row>
    <row r="667" spans="1:10" x14ac:dyDescent="0.45">
      <c r="A667" t="s">
        <v>728</v>
      </c>
      <c r="B667" t="s">
        <v>11</v>
      </c>
      <c r="C667" t="s">
        <v>31</v>
      </c>
      <c r="D667" t="s">
        <v>28</v>
      </c>
      <c r="E667">
        <v>10</v>
      </c>
      <c r="F667">
        <v>16</v>
      </c>
      <c r="G667">
        <v>160</v>
      </c>
      <c r="H667">
        <v>0.01</v>
      </c>
      <c r="I667">
        <v>1.6</v>
      </c>
      <c r="J667" t="s">
        <v>36</v>
      </c>
    </row>
    <row r="668" spans="1:10" x14ac:dyDescent="0.45">
      <c r="A668" t="s">
        <v>729</v>
      </c>
      <c r="B668" t="s">
        <v>11</v>
      </c>
      <c r="C668" t="s">
        <v>31</v>
      </c>
      <c r="D668" t="s">
        <v>28</v>
      </c>
      <c r="E668">
        <v>14</v>
      </c>
      <c r="F668">
        <v>16</v>
      </c>
      <c r="G668">
        <v>224</v>
      </c>
      <c r="H668">
        <v>0.12</v>
      </c>
      <c r="I668">
        <v>26.88</v>
      </c>
      <c r="J668" t="s">
        <v>38</v>
      </c>
    </row>
    <row r="669" spans="1:10" x14ac:dyDescent="0.45">
      <c r="A669" t="s">
        <v>730</v>
      </c>
      <c r="B669" t="s">
        <v>11</v>
      </c>
      <c r="C669" t="s">
        <v>16</v>
      </c>
      <c r="D669" t="s">
        <v>25</v>
      </c>
      <c r="E669">
        <v>6</v>
      </c>
      <c r="F669">
        <v>40</v>
      </c>
      <c r="G669">
        <v>240</v>
      </c>
      <c r="H669">
        <v>0.06</v>
      </c>
      <c r="I669">
        <v>14.399999999999999</v>
      </c>
      <c r="J669" t="s">
        <v>40</v>
      </c>
    </row>
    <row r="670" spans="1:10" x14ac:dyDescent="0.45">
      <c r="A670" t="s">
        <v>731</v>
      </c>
      <c r="B670" t="s">
        <v>11</v>
      </c>
      <c r="C670" t="s">
        <v>16</v>
      </c>
      <c r="D670" t="s">
        <v>28</v>
      </c>
      <c r="E670">
        <v>13</v>
      </c>
      <c r="F670">
        <v>40</v>
      </c>
      <c r="G670">
        <v>520</v>
      </c>
      <c r="H670">
        <v>0.09</v>
      </c>
      <c r="I670">
        <v>46.8</v>
      </c>
      <c r="J670" t="s">
        <v>33</v>
      </c>
    </row>
    <row r="671" spans="1:10" x14ac:dyDescent="0.45">
      <c r="A671" t="s">
        <v>732</v>
      </c>
      <c r="B671" t="s">
        <v>11</v>
      </c>
      <c r="C671" t="s">
        <v>31</v>
      </c>
      <c r="D671" t="s">
        <v>28</v>
      </c>
      <c r="E671">
        <v>10</v>
      </c>
      <c r="F671">
        <v>16</v>
      </c>
      <c r="G671">
        <v>160</v>
      </c>
      <c r="H671">
        <v>0.04</v>
      </c>
      <c r="I671">
        <v>6.4</v>
      </c>
      <c r="J671" t="s">
        <v>36</v>
      </c>
    </row>
    <row r="672" spans="1:10" x14ac:dyDescent="0.45">
      <c r="A672" t="s">
        <v>733</v>
      </c>
      <c r="B672" t="s">
        <v>11</v>
      </c>
      <c r="C672" t="s">
        <v>12</v>
      </c>
      <c r="D672" t="s">
        <v>17</v>
      </c>
      <c r="E672">
        <v>14</v>
      </c>
      <c r="F672">
        <v>80</v>
      </c>
      <c r="G672">
        <v>1120</v>
      </c>
      <c r="H672">
        <v>0.11</v>
      </c>
      <c r="I672">
        <v>123.2</v>
      </c>
      <c r="J672" t="s">
        <v>38</v>
      </c>
    </row>
    <row r="673" spans="1:10" x14ac:dyDescent="0.45">
      <c r="A673" t="s">
        <v>734</v>
      </c>
      <c r="B673" t="s">
        <v>11</v>
      </c>
      <c r="C673" t="s">
        <v>16</v>
      </c>
      <c r="D673" t="s">
        <v>17</v>
      </c>
      <c r="E673">
        <v>4</v>
      </c>
      <c r="F673">
        <v>40</v>
      </c>
      <c r="G673">
        <v>160</v>
      </c>
      <c r="H673">
        <v>0.06</v>
      </c>
      <c r="I673">
        <v>9.6</v>
      </c>
      <c r="J673" t="s">
        <v>40</v>
      </c>
    </row>
    <row r="674" spans="1:10" x14ac:dyDescent="0.45">
      <c r="A674" t="s">
        <v>735</v>
      </c>
      <c r="B674" t="s">
        <v>11</v>
      </c>
      <c r="C674" t="s">
        <v>16</v>
      </c>
      <c r="D674" t="s">
        <v>25</v>
      </c>
      <c r="E674">
        <v>11</v>
      </c>
      <c r="F674">
        <v>40</v>
      </c>
      <c r="G674">
        <v>440</v>
      </c>
      <c r="H674">
        <v>0.05</v>
      </c>
      <c r="I674">
        <v>22</v>
      </c>
      <c r="J674" t="s">
        <v>33</v>
      </c>
    </row>
    <row r="675" spans="1:10" x14ac:dyDescent="0.45">
      <c r="A675" t="s">
        <v>736</v>
      </c>
      <c r="B675" t="s">
        <v>11</v>
      </c>
      <c r="C675" t="s">
        <v>31</v>
      </c>
      <c r="D675" t="s">
        <v>25</v>
      </c>
      <c r="E675">
        <v>14</v>
      </c>
      <c r="F675">
        <v>16</v>
      </c>
      <c r="G675">
        <v>224</v>
      </c>
      <c r="H675">
        <v>0.01</v>
      </c>
      <c r="I675">
        <v>2.2400000000000002</v>
      </c>
      <c r="J675" t="s">
        <v>36</v>
      </c>
    </row>
    <row r="676" spans="1:10" x14ac:dyDescent="0.45">
      <c r="A676" t="s">
        <v>737</v>
      </c>
      <c r="B676" t="s">
        <v>11</v>
      </c>
      <c r="C676" t="s">
        <v>35</v>
      </c>
      <c r="D676" t="s">
        <v>13</v>
      </c>
      <c r="E676">
        <v>20</v>
      </c>
      <c r="F676">
        <v>150</v>
      </c>
      <c r="G676">
        <v>3000</v>
      </c>
      <c r="H676">
        <v>0.04</v>
      </c>
      <c r="I676">
        <v>120</v>
      </c>
      <c r="J676" t="s">
        <v>38</v>
      </c>
    </row>
    <row r="677" spans="1:10" x14ac:dyDescent="0.45">
      <c r="A677" t="s">
        <v>738</v>
      </c>
      <c r="B677" t="s">
        <v>11</v>
      </c>
      <c r="C677" t="s">
        <v>16</v>
      </c>
      <c r="D677" t="s">
        <v>28</v>
      </c>
      <c r="E677">
        <v>9</v>
      </c>
      <c r="F677">
        <v>40</v>
      </c>
      <c r="G677">
        <v>360</v>
      </c>
      <c r="H677">
        <v>0.06</v>
      </c>
      <c r="I677">
        <v>21.599999999999998</v>
      </c>
      <c r="J677" t="s">
        <v>40</v>
      </c>
    </row>
    <row r="678" spans="1:10" x14ac:dyDescent="0.45">
      <c r="A678" t="s">
        <v>739</v>
      </c>
      <c r="B678" t="s">
        <v>11</v>
      </c>
      <c r="C678" t="s">
        <v>35</v>
      </c>
      <c r="D678" t="s">
        <v>25</v>
      </c>
      <c r="E678">
        <v>18</v>
      </c>
      <c r="F678">
        <v>150</v>
      </c>
      <c r="G678">
        <v>2700</v>
      </c>
      <c r="H678">
        <v>0.06</v>
      </c>
      <c r="I678">
        <v>162</v>
      </c>
      <c r="J678" t="s">
        <v>33</v>
      </c>
    </row>
    <row r="679" spans="1:10" x14ac:dyDescent="0.45">
      <c r="A679" t="s">
        <v>740</v>
      </c>
      <c r="B679" t="s">
        <v>11</v>
      </c>
      <c r="C679" t="s">
        <v>20</v>
      </c>
      <c r="D679" t="s">
        <v>32</v>
      </c>
      <c r="E679">
        <v>17</v>
      </c>
      <c r="F679">
        <v>230</v>
      </c>
      <c r="G679">
        <v>3910</v>
      </c>
      <c r="H679">
        <v>0.11</v>
      </c>
      <c r="I679">
        <v>430.1</v>
      </c>
      <c r="J679" t="s">
        <v>36</v>
      </c>
    </row>
    <row r="680" spans="1:10" x14ac:dyDescent="0.45">
      <c r="A680" t="s">
        <v>741</v>
      </c>
      <c r="B680" t="s">
        <v>44</v>
      </c>
      <c r="C680" t="s">
        <v>16</v>
      </c>
      <c r="D680" t="s">
        <v>13</v>
      </c>
      <c r="E680">
        <v>20</v>
      </c>
      <c r="F680">
        <v>40</v>
      </c>
      <c r="G680">
        <v>800</v>
      </c>
      <c r="H680">
        <v>0.04</v>
      </c>
      <c r="I680">
        <v>32</v>
      </c>
      <c r="J680" t="s">
        <v>38</v>
      </c>
    </row>
    <row r="681" spans="1:10" x14ac:dyDescent="0.45">
      <c r="A681" t="s">
        <v>742</v>
      </c>
      <c r="B681" t="s">
        <v>44</v>
      </c>
      <c r="C681" t="s">
        <v>16</v>
      </c>
      <c r="D681" t="s">
        <v>13</v>
      </c>
      <c r="E681">
        <v>23</v>
      </c>
      <c r="F681">
        <v>40</v>
      </c>
      <c r="G681">
        <v>920</v>
      </c>
      <c r="H681">
        <v>0.03</v>
      </c>
      <c r="I681">
        <v>27.599999999999998</v>
      </c>
      <c r="J681" t="s">
        <v>40</v>
      </c>
    </row>
    <row r="682" spans="1:10" x14ac:dyDescent="0.45">
      <c r="A682" t="s">
        <v>743</v>
      </c>
      <c r="B682" t="s">
        <v>44</v>
      </c>
      <c r="C682" t="s">
        <v>20</v>
      </c>
      <c r="D682" t="s">
        <v>32</v>
      </c>
      <c r="E682">
        <v>21</v>
      </c>
      <c r="F682">
        <v>230</v>
      </c>
      <c r="G682">
        <v>4830</v>
      </c>
      <c r="H682">
        <v>0.05</v>
      </c>
      <c r="I682">
        <v>241.5</v>
      </c>
      <c r="J682" t="s">
        <v>33</v>
      </c>
    </row>
    <row r="683" spans="1:10" x14ac:dyDescent="0.45">
      <c r="A683" t="s">
        <v>744</v>
      </c>
      <c r="B683" t="s">
        <v>44</v>
      </c>
      <c r="C683" t="s">
        <v>12</v>
      </c>
      <c r="D683" t="s">
        <v>25</v>
      </c>
      <c r="E683">
        <v>6</v>
      </c>
      <c r="F683">
        <v>80</v>
      </c>
      <c r="G683">
        <v>480</v>
      </c>
      <c r="H683">
        <v>0.09</v>
      </c>
      <c r="I683">
        <v>43.199999999999996</v>
      </c>
      <c r="J683" t="s">
        <v>36</v>
      </c>
    </row>
    <row r="684" spans="1:10" x14ac:dyDescent="0.45">
      <c r="A684" t="s">
        <v>745</v>
      </c>
      <c r="B684" t="s">
        <v>44</v>
      </c>
      <c r="C684" t="s">
        <v>31</v>
      </c>
      <c r="D684" t="s">
        <v>13</v>
      </c>
      <c r="E684">
        <v>20</v>
      </c>
      <c r="F684">
        <v>16</v>
      </c>
      <c r="G684">
        <v>320</v>
      </c>
      <c r="H684">
        <v>0.01</v>
      </c>
      <c r="I684">
        <v>3.2</v>
      </c>
      <c r="J684" t="s">
        <v>38</v>
      </c>
    </row>
    <row r="685" spans="1:10" x14ac:dyDescent="0.45">
      <c r="A685" t="s">
        <v>746</v>
      </c>
      <c r="B685" t="s">
        <v>44</v>
      </c>
      <c r="C685" t="s">
        <v>16</v>
      </c>
      <c r="D685" t="s">
        <v>17</v>
      </c>
      <c r="E685">
        <v>8</v>
      </c>
      <c r="F685">
        <v>40</v>
      </c>
      <c r="G685">
        <v>320</v>
      </c>
      <c r="H685">
        <v>0.09</v>
      </c>
      <c r="I685">
        <v>28.799999999999997</v>
      </c>
      <c r="J685" t="s">
        <v>40</v>
      </c>
    </row>
    <row r="686" spans="1:10" x14ac:dyDescent="0.45">
      <c r="A686" t="s">
        <v>747</v>
      </c>
      <c r="B686" t="s">
        <v>44</v>
      </c>
      <c r="C686" t="s">
        <v>20</v>
      </c>
      <c r="D686" t="s">
        <v>17</v>
      </c>
      <c r="E686">
        <v>15</v>
      </c>
      <c r="F686">
        <v>230</v>
      </c>
      <c r="G686">
        <v>3450</v>
      </c>
      <c r="H686">
        <v>0.09</v>
      </c>
      <c r="I686">
        <v>310.5</v>
      </c>
      <c r="J686" t="s">
        <v>33</v>
      </c>
    </row>
    <row r="687" spans="1:10" x14ac:dyDescent="0.45">
      <c r="A687" t="s">
        <v>748</v>
      </c>
      <c r="B687" t="s">
        <v>53</v>
      </c>
      <c r="C687" t="s">
        <v>12</v>
      </c>
      <c r="D687" t="s">
        <v>28</v>
      </c>
      <c r="E687">
        <v>21</v>
      </c>
      <c r="F687">
        <v>80</v>
      </c>
      <c r="G687">
        <v>1680</v>
      </c>
      <c r="H687">
        <v>0.02</v>
      </c>
      <c r="I687">
        <v>33.6</v>
      </c>
      <c r="J687" t="s">
        <v>36</v>
      </c>
    </row>
    <row r="688" spans="1:10" x14ac:dyDescent="0.45">
      <c r="A688" t="s">
        <v>749</v>
      </c>
      <c r="B688" t="s">
        <v>53</v>
      </c>
      <c r="C688" t="s">
        <v>12</v>
      </c>
      <c r="D688" t="s">
        <v>28</v>
      </c>
      <c r="E688">
        <v>19</v>
      </c>
      <c r="F688">
        <v>80</v>
      </c>
      <c r="G688">
        <v>1520</v>
      </c>
      <c r="H688">
        <v>0.02</v>
      </c>
      <c r="I688">
        <v>30.400000000000002</v>
      </c>
      <c r="J688" t="s">
        <v>38</v>
      </c>
    </row>
    <row r="689" spans="1:10" x14ac:dyDescent="0.45">
      <c r="A689" t="s">
        <v>750</v>
      </c>
      <c r="B689" t="s">
        <v>53</v>
      </c>
      <c r="C689" t="s">
        <v>31</v>
      </c>
      <c r="D689" t="s">
        <v>13</v>
      </c>
      <c r="E689">
        <v>7</v>
      </c>
      <c r="F689">
        <v>16</v>
      </c>
      <c r="G689">
        <v>112</v>
      </c>
      <c r="H689">
        <v>0.08</v>
      </c>
      <c r="I689">
        <v>8.9600000000000009</v>
      </c>
      <c r="J689" t="s">
        <v>40</v>
      </c>
    </row>
    <row r="690" spans="1:10" x14ac:dyDescent="0.45">
      <c r="A690" t="s">
        <v>751</v>
      </c>
      <c r="B690" t="s">
        <v>53</v>
      </c>
      <c r="C690" t="s">
        <v>16</v>
      </c>
      <c r="D690" t="s">
        <v>32</v>
      </c>
      <c r="E690">
        <v>11</v>
      </c>
      <c r="F690">
        <v>40</v>
      </c>
      <c r="G690">
        <v>440</v>
      </c>
      <c r="H690">
        <v>0.05</v>
      </c>
      <c r="I690">
        <v>22</v>
      </c>
      <c r="J690" t="s">
        <v>33</v>
      </c>
    </row>
    <row r="691" spans="1:10" x14ac:dyDescent="0.45">
      <c r="A691" t="s">
        <v>752</v>
      </c>
      <c r="B691" t="s">
        <v>53</v>
      </c>
      <c r="C691" t="s">
        <v>20</v>
      </c>
      <c r="D691" t="s">
        <v>28</v>
      </c>
      <c r="E691">
        <v>8</v>
      </c>
      <c r="F691">
        <v>230</v>
      </c>
      <c r="G691">
        <v>1840</v>
      </c>
      <c r="H691">
        <v>0.05</v>
      </c>
      <c r="I691">
        <v>92</v>
      </c>
      <c r="J691" t="s">
        <v>36</v>
      </c>
    </row>
    <row r="692" spans="1:10" x14ac:dyDescent="0.45">
      <c r="A692" t="s">
        <v>753</v>
      </c>
      <c r="B692" t="s">
        <v>53</v>
      </c>
      <c r="C692" t="s">
        <v>12</v>
      </c>
      <c r="D692" t="s">
        <v>13</v>
      </c>
      <c r="E692">
        <v>18</v>
      </c>
      <c r="F692">
        <v>80</v>
      </c>
      <c r="G692">
        <v>1440</v>
      </c>
      <c r="H692">
        <v>0.02</v>
      </c>
      <c r="I692">
        <v>28.8</v>
      </c>
      <c r="J692" t="s">
        <v>38</v>
      </c>
    </row>
    <row r="693" spans="1:10" x14ac:dyDescent="0.45">
      <c r="A693" t="s">
        <v>754</v>
      </c>
      <c r="B693" t="s">
        <v>53</v>
      </c>
      <c r="C693" t="s">
        <v>16</v>
      </c>
      <c r="D693" t="s">
        <v>13</v>
      </c>
      <c r="E693">
        <v>7</v>
      </c>
      <c r="F693">
        <v>40</v>
      </c>
      <c r="G693">
        <v>280</v>
      </c>
      <c r="H693">
        <v>0.1</v>
      </c>
      <c r="I693">
        <v>28</v>
      </c>
      <c r="J693" t="s">
        <v>40</v>
      </c>
    </row>
    <row r="694" spans="1:10" x14ac:dyDescent="0.45">
      <c r="A694" t="s">
        <v>755</v>
      </c>
      <c r="B694" t="s">
        <v>67</v>
      </c>
      <c r="C694" t="s">
        <v>31</v>
      </c>
      <c r="D694" t="s">
        <v>13</v>
      </c>
      <c r="E694">
        <v>16</v>
      </c>
      <c r="F694">
        <v>16</v>
      </c>
      <c r="G694">
        <v>256</v>
      </c>
      <c r="H694">
        <v>0.03</v>
      </c>
      <c r="I694">
        <v>7.68</v>
      </c>
      <c r="J694" t="s">
        <v>33</v>
      </c>
    </row>
    <row r="695" spans="1:10" x14ac:dyDescent="0.45">
      <c r="A695" t="s">
        <v>756</v>
      </c>
      <c r="B695" t="s">
        <v>67</v>
      </c>
      <c r="C695" t="s">
        <v>12</v>
      </c>
      <c r="D695" t="s">
        <v>13</v>
      </c>
      <c r="E695">
        <v>8</v>
      </c>
      <c r="F695">
        <v>80</v>
      </c>
      <c r="G695">
        <v>640</v>
      </c>
      <c r="H695">
        <v>0.08</v>
      </c>
      <c r="I695">
        <v>51.2</v>
      </c>
      <c r="J695" t="s">
        <v>36</v>
      </c>
    </row>
    <row r="696" spans="1:10" x14ac:dyDescent="0.45">
      <c r="A696" t="s">
        <v>757</v>
      </c>
      <c r="B696" t="s">
        <v>67</v>
      </c>
      <c r="C696" t="s">
        <v>20</v>
      </c>
      <c r="D696" t="s">
        <v>32</v>
      </c>
      <c r="E696">
        <v>22</v>
      </c>
      <c r="F696">
        <v>230</v>
      </c>
      <c r="G696">
        <v>5060</v>
      </c>
      <c r="H696">
        <v>0.1</v>
      </c>
      <c r="I696">
        <v>506</v>
      </c>
      <c r="J696" t="s">
        <v>38</v>
      </c>
    </row>
    <row r="697" spans="1:10" x14ac:dyDescent="0.45">
      <c r="A697" t="s">
        <v>758</v>
      </c>
      <c r="B697" t="s">
        <v>67</v>
      </c>
      <c r="C697" t="s">
        <v>20</v>
      </c>
      <c r="D697" t="s">
        <v>32</v>
      </c>
      <c r="E697">
        <v>3</v>
      </c>
      <c r="F697">
        <v>230</v>
      </c>
      <c r="G697">
        <v>690</v>
      </c>
      <c r="H697">
        <v>0.1</v>
      </c>
      <c r="I697">
        <v>69</v>
      </c>
      <c r="J697" t="s">
        <v>40</v>
      </c>
    </row>
    <row r="698" spans="1:10" x14ac:dyDescent="0.45">
      <c r="A698" t="s">
        <v>759</v>
      </c>
      <c r="B698" t="s">
        <v>67</v>
      </c>
      <c r="C698" t="s">
        <v>20</v>
      </c>
      <c r="D698" t="s">
        <v>32</v>
      </c>
      <c r="E698">
        <v>20</v>
      </c>
      <c r="F698">
        <v>230</v>
      </c>
      <c r="G698">
        <v>4600</v>
      </c>
      <c r="H698">
        <v>0.11</v>
      </c>
      <c r="I698">
        <v>506</v>
      </c>
      <c r="J698" t="s">
        <v>33</v>
      </c>
    </row>
    <row r="699" spans="1:10" x14ac:dyDescent="0.45">
      <c r="A699" t="s">
        <v>760</v>
      </c>
      <c r="B699" t="s">
        <v>67</v>
      </c>
      <c r="C699" t="s">
        <v>31</v>
      </c>
      <c r="D699" t="s">
        <v>25</v>
      </c>
      <c r="E699">
        <v>12</v>
      </c>
      <c r="F699">
        <v>16</v>
      </c>
      <c r="G699">
        <v>192</v>
      </c>
      <c r="H699">
        <v>0.03</v>
      </c>
      <c r="I699">
        <v>5.76</v>
      </c>
      <c r="J699" t="s">
        <v>36</v>
      </c>
    </row>
    <row r="700" spans="1:10" x14ac:dyDescent="0.45">
      <c r="A700" t="s">
        <v>761</v>
      </c>
      <c r="B700" t="s">
        <v>67</v>
      </c>
      <c r="C700" t="s">
        <v>16</v>
      </c>
      <c r="D700" t="s">
        <v>32</v>
      </c>
      <c r="E700">
        <v>20</v>
      </c>
      <c r="F700">
        <v>40</v>
      </c>
      <c r="G700">
        <v>800</v>
      </c>
      <c r="H700">
        <v>7.0000000000000007E-2</v>
      </c>
      <c r="I700">
        <v>56.000000000000007</v>
      </c>
      <c r="J700" t="s">
        <v>38</v>
      </c>
    </row>
    <row r="701" spans="1:10" x14ac:dyDescent="0.45">
      <c r="A701" t="s">
        <v>762</v>
      </c>
      <c r="B701" t="s">
        <v>67</v>
      </c>
      <c r="C701" t="s">
        <v>20</v>
      </c>
      <c r="D701" t="s">
        <v>13</v>
      </c>
      <c r="E701">
        <v>3</v>
      </c>
      <c r="F701">
        <v>230</v>
      </c>
      <c r="G701">
        <v>690</v>
      </c>
      <c r="H701">
        <v>0.06</v>
      </c>
      <c r="I701">
        <v>41.4</v>
      </c>
      <c r="J701" t="s">
        <v>40</v>
      </c>
    </row>
    <row r="702" spans="1:10" x14ac:dyDescent="0.45">
      <c r="A702" t="s">
        <v>763</v>
      </c>
      <c r="B702" t="s">
        <v>67</v>
      </c>
      <c r="C702" t="s">
        <v>12</v>
      </c>
      <c r="D702" t="s">
        <v>28</v>
      </c>
      <c r="E702">
        <v>16</v>
      </c>
      <c r="F702">
        <v>80</v>
      </c>
      <c r="G702">
        <v>1280</v>
      </c>
      <c r="H702">
        <v>7.0000000000000007E-2</v>
      </c>
      <c r="I702">
        <v>89.600000000000009</v>
      </c>
      <c r="J702" t="s">
        <v>33</v>
      </c>
    </row>
    <row r="703" spans="1:10" x14ac:dyDescent="0.45">
      <c r="A703" t="s">
        <v>764</v>
      </c>
      <c r="B703" t="s">
        <v>77</v>
      </c>
      <c r="C703" t="s">
        <v>16</v>
      </c>
      <c r="D703" t="s">
        <v>32</v>
      </c>
      <c r="E703">
        <v>3</v>
      </c>
      <c r="F703">
        <v>40</v>
      </c>
      <c r="G703">
        <v>120</v>
      </c>
      <c r="H703">
        <v>0.03</v>
      </c>
      <c r="I703">
        <v>3.5999999999999996</v>
      </c>
      <c r="J703" t="s">
        <v>36</v>
      </c>
    </row>
    <row r="704" spans="1:10" x14ac:dyDescent="0.45">
      <c r="A704" t="s">
        <v>765</v>
      </c>
      <c r="B704" t="s">
        <v>77</v>
      </c>
      <c r="C704" t="s">
        <v>20</v>
      </c>
      <c r="D704" t="s">
        <v>25</v>
      </c>
      <c r="E704">
        <v>12</v>
      </c>
      <c r="F704">
        <v>230</v>
      </c>
      <c r="G704">
        <v>2760</v>
      </c>
      <c r="H704">
        <v>0.03</v>
      </c>
      <c r="I704">
        <v>82.8</v>
      </c>
      <c r="J704" t="s">
        <v>38</v>
      </c>
    </row>
    <row r="705" spans="1:10" x14ac:dyDescent="0.45">
      <c r="A705" t="s">
        <v>766</v>
      </c>
      <c r="B705" t="s">
        <v>77</v>
      </c>
      <c r="C705" t="s">
        <v>16</v>
      </c>
      <c r="D705" t="s">
        <v>28</v>
      </c>
      <c r="E705">
        <v>22</v>
      </c>
      <c r="F705">
        <v>40</v>
      </c>
      <c r="G705">
        <v>880</v>
      </c>
      <c r="H705">
        <v>0.01</v>
      </c>
      <c r="I705">
        <v>8.8000000000000007</v>
      </c>
      <c r="J705" t="s">
        <v>40</v>
      </c>
    </row>
    <row r="706" spans="1:10" x14ac:dyDescent="0.45">
      <c r="A706" t="s">
        <v>767</v>
      </c>
      <c r="B706" t="s">
        <v>77</v>
      </c>
      <c r="C706" t="s">
        <v>16</v>
      </c>
      <c r="D706" t="s">
        <v>17</v>
      </c>
      <c r="E706">
        <v>19</v>
      </c>
      <c r="F706">
        <v>40</v>
      </c>
      <c r="G706">
        <v>760</v>
      </c>
      <c r="H706">
        <v>0.1</v>
      </c>
      <c r="I706">
        <v>76</v>
      </c>
      <c r="J706" t="s">
        <v>33</v>
      </c>
    </row>
    <row r="707" spans="1:10" x14ac:dyDescent="0.45">
      <c r="A707" t="s">
        <v>768</v>
      </c>
      <c r="B707" t="s">
        <v>77</v>
      </c>
      <c r="C707" t="s">
        <v>12</v>
      </c>
      <c r="D707" t="s">
        <v>17</v>
      </c>
      <c r="E707">
        <v>21</v>
      </c>
      <c r="F707">
        <v>80</v>
      </c>
      <c r="G707">
        <v>1680</v>
      </c>
      <c r="H707">
        <v>0.04</v>
      </c>
      <c r="I707">
        <v>67.2</v>
      </c>
      <c r="J707" t="s">
        <v>36</v>
      </c>
    </row>
    <row r="708" spans="1:10" x14ac:dyDescent="0.45">
      <c r="A708" t="s">
        <v>769</v>
      </c>
      <c r="B708" t="s">
        <v>77</v>
      </c>
      <c r="C708" t="s">
        <v>12</v>
      </c>
      <c r="D708" t="s">
        <v>17</v>
      </c>
      <c r="E708">
        <v>2</v>
      </c>
      <c r="F708">
        <v>80</v>
      </c>
      <c r="G708">
        <v>160</v>
      </c>
      <c r="H708">
        <v>0.04</v>
      </c>
      <c r="I708">
        <v>6.4</v>
      </c>
      <c r="J708" t="s">
        <v>38</v>
      </c>
    </row>
    <row r="709" spans="1:10" x14ac:dyDescent="0.45">
      <c r="A709" t="s">
        <v>770</v>
      </c>
      <c r="B709" t="s">
        <v>77</v>
      </c>
      <c r="C709" t="s">
        <v>35</v>
      </c>
      <c r="D709" t="s">
        <v>17</v>
      </c>
      <c r="E709">
        <v>15</v>
      </c>
      <c r="F709">
        <v>150</v>
      </c>
      <c r="G709">
        <v>2250</v>
      </c>
      <c r="H709">
        <v>0.02</v>
      </c>
      <c r="I709">
        <v>45</v>
      </c>
      <c r="J709" t="s">
        <v>40</v>
      </c>
    </row>
    <row r="710" spans="1:10" x14ac:dyDescent="0.45">
      <c r="A710" t="s">
        <v>771</v>
      </c>
      <c r="B710" t="s">
        <v>86</v>
      </c>
      <c r="C710" t="s">
        <v>16</v>
      </c>
      <c r="D710" t="s">
        <v>17</v>
      </c>
      <c r="E710">
        <v>14</v>
      </c>
      <c r="F710">
        <v>40</v>
      </c>
      <c r="G710">
        <v>560</v>
      </c>
      <c r="H710">
        <v>0.06</v>
      </c>
      <c r="I710">
        <v>33.6</v>
      </c>
      <c r="J710" t="s">
        <v>33</v>
      </c>
    </row>
    <row r="711" spans="1:10" x14ac:dyDescent="0.45">
      <c r="A711" t="s">
        <v>772</v>
      </c>
      <c r="B711" t="s">
        <v>86</v>
      </c>
      <c r="C711" t="s">
        <v>12</v>
      </c>
      <c r="D711" t="s">
        <v>28</v>
      </c>
      <c r="E711">
        <v>7</v>
      </c>
      <c r="F711">
        <v>80</v>
      </c>
      <c r="G711">
        <v>560</v>
      </c>
      <c r="H711">
        <v>7.0000000000000007E-2</v>
      </c>
      <c r="I711">
        <v>39.200000000000003</v>
      </c>
      <c r="J711" t="s">
        <v>36</v>
      </c>
    </row>
    <row r="712" spans="1:10" x14ac:dyDescent="0.45">
      <c r="A712" t="s">
        <v>773</v>
      </c>
      <c r="B712" t="s">
        <v>86</v>
      </c>
      <c r="C712" t="s">
        <v>12</v>
      </c>
      <c r="D712" t="s">
        <v>25</v>
      </c>
      <c r="E712">
        <v>7</v>
      </c>
      <c r="F712">
        <v>80</v>
      </c>
      <c r="G712">
        <v>560</v>
      </c>
      <c r="H712">
        <v>0.05</v>
      </c>
      <c r="I712">
        <v>28</v>
      </c>
      <c r="J712" t="s">
        <v>38</v>
      </c>
    </row>
    <row r="713" spans="1:10" x14ac:dyDescent="0.45">
      <c r="A713" t="s">
        <v>774</v>
      </c>
      <c r="B713" t="s">
        <v>86</v>
      </c>
      <c r="C713" t="s">
        <v>35</v>
      </c>
      <c r="D713" t="s">
        <v>17</v>
      </c>
      <c r="E713">
        <v>10</v>
      </c>
      <c r="F713">
        <v>150</v>
      </c>
      <c r="G713">
        <v>1500</v>
      </c>
      <c r="H713">
        <v>0.01</v>
      </c>
      <c r="I713">
        <v>15</v>
      </c>
      <c r="J713" t="s">
        <v>40</v>
      </c>
    </row>
    <row r="714" spans="1:10" x14ac:dyDescent="0.45">
      <c r="A714" t="s">
        <v>775</v>
      </c>
      <c r="B714" t="s">
        <v>86</v>
      </c>
      <c r="C714" t="s">
        <v>12</v>
      </c>
      <c r="D714" t="s">
        <v>25</v>
      </c>
      <c r="E714">
        <v>10</v>
      </c>
      <c r="F714">
        <v>80</v>
      </c>
      <c r="G714">
        <v>800</v>
      </c>
      <c r="H714">
        <v>0.08</v>
      </c>
      <c r="I714">
        <v>64</v>
      </c>
      <c r="J714" t="s">
        <v>33</v>
      </c>
    </row>
    <row r="715" spans="1:10" x14ac:dyDescent="0.45">
      <c r="A715" t="s">
        <v>776</v>
      </c>
      <c r="B715" t="s">
        <v>86</v>
      </c>
      <c r="C715" t="s">
        <v>12</v>
      </c>
      <c r="D715" t="s">
        <v>28</v>
      </c>
      <c r="E715">
        <v>15</v>
      </c>
      <c r="F715">
        <v>80</v>
      </c>
      <c r="G715">
        <v>1200</v>
      </c>
      <c r="H715">
        <v>0.08</v>
      </c>
      <c r="I715">
        <v>96</v>
      </c>
      <c r="J715" t="s">
        <v>36</v>
      </c>
    </row>
    <row r="716" spans="1:10" x14ac:dyDescent="0.45">
      <c r="A716" t="s">
        <v>777</v>
      </c>
      <c r="B716" t="s">
        <v>86</v>
      </c>
      <c r="C716" t="s">
        <v>20</v>
      </c>
      <c r="D716" t="s">
        <v>28</v>
      </c>
      <c r="E716">
        <v>18</v>
      </c>
      <c r="F716">
        <v>230</v>
      </c>
      <c r="G716">
        <v>4140</v>
      </c>
      <c r="H716">
        <v>0.01</v>
      </c>
      <c r="I716">
        <v>41.4</v>
      </c>
      <c r="J716" t="s">
        <v>38</v>
      </c>
    </row>
    <row r="717" spans="1:10" x14ac:dyDescent="0.45">
      <c r="A717" t="s">
        <v>778</v>
      </c>
      <c r="B717" t="s">
        <v>86</v>
      </c>
      <c r="C717" t="s">
        <v>12</v>
      </c>
      <c r="D717" t="s">
        <v>13</v>
      </c>
      <c r="E717">
        <v>8</v>
      </c>
      <c r="F717">
        <v>80</v>
      </c>
      <c r="G717">
        <v>640</v>
      </c>
      <c r="H717">
        <v>0.09</v>
      </c>
      <c r="I717">
        <v>57.599999999999994</v>
      </c>
      <c r="J717" t="s">
        <v>40</v>
      </c>
    </row>
    <row r="718" spans="1:10" x14ac:dyDescent="0.45">
      <c r="A718" t="s">
        <v>779</v>
      </c>
      <c r="B718" t="s">
        <v>86</v>
      </c>
      <c r="C718" t="s">
        <v>31</v>
      </c>
      <c r="D718" t="s">
        <v>25</v>
      </c>
      <c r="E718">
        <v>6</v>
      </c>
      <c r="F718">
        <v>16</v>
      </c>
      <c r="G718">
        <v>96</v>
      </c>
      <c r="H718">
        <v>0.01</v>
      </c>
      <c r="I718">
        <v>0.96</v>
      </c>
      <c r="J718" t="s">
        <v>33</v>
      </c>
    </row>
    <row r="719" spans="1:10" x14ac:dyDescent="0.45">
      <c r="A719" t="s">
        <v>780</v>
      </c>
      <c r="B719" t="s">
        <v>86</v>
      </c>
      <c r="C719" t="s">
        <v>20</v>
      </c>
      <c r="D719" t="s">
        <v>17</v>
      </c>
      <c r="E719">
        <v>9</v>
      </c>
      <c r="F719">
        <v>230</v>
      </c>
      <c r="G719">
        <v>2070</v>
      </c>
      <c r="H719">
        <v>0.03</v>
      </c>
      <c r="I719">
        <v>62.099999999999994</v>
      </c>
      <c r="J719" t="s">
        <v>36</v>
      </c>
    </row>
    <row r="720" spans="1:10" x14ac:dyDescent="0.45">
      <c r="A720" t="s">
        <v>781</v>
      </c>
      <c r="B720" t="s">
        <v>102</v>
      </c>
      <c r="C720" t="s">
        <v>16</v>
      </c>
      <c r="D720" t="s">
        <v>28</v>
      </c>
      <c r="E720">
        <v>15</v>
      </c>
      <c r="F720">
        <v>40</v>
      </c>
      <c r="G720">
        <v>600</v>
      </c>
      <c r="H720">
        <v>0.03</v>
      </c>
      <c r="I720">
        <v>18</v>
      </c>
      <c r="J720" t="s">
        <v>38</v>
      </c>
    </row>
    <row r="721" spans="1:10" x14ac:dyDescent="0.45">
      <c r="A721" t="s">
        <v>782</v>
      </c>
      <c r="B721" t="s">
        <v>102</v>
      </c>
      <c r="C721" t="s">
        <v>16</v>
      </c>
      <c r="D721" t="s">
        <v>17</v>
      </c>
      <c r="E721">
        <v>15</v>
      </c>
      <c r="F721">
        <v>40</v>
      </c>
      <c r="G721">
        <v>600</v>
      </c>
      <c r="H721">
        <v>0.04</v>
      </c>
      <c r="I721">
        <v>24</v>
      </c>
      <c r="J721" t="s">
        <v>40</v>
      </c>
    </row>
    <row r="722" spans="1:10" x14ac:dyDescent="0.45">
      <c r="A722" t="s">
        <v>783</v>
      </c>
      <c r="B722" t="s">
        <v>102</v>
      </c>
      <c r="C722" t="s">
        <v>31</v>
      </c>
      <c r="D722" t="s">
        <v>32</v>
      </c>
      <c r="E722">
        <v>11</v>
      </c>
      <c r="F722">
        <v>16</v>
      </c>
      <c r="G722">
        <v>176</v>
      </c>
      <c r="H722">
        <v>0.12</v>
      </c>
      <c r="I722">
        <v>21.119999999999997</v>
      </c>
      <c r="J722" t="s">
        <v>33</v>
      </c>
    </row>
    <row r="723" spans="1:10" x14ac:dyDescent="0.45">
      <c r="A723" t="s">
        <v>784</v>
      </c>
      <c r="B723" t="s">
        <v>102</v>
      </c>
      <c r="C723" t="s">
        <v>31</v>
      </c>
      <c r="D723" t="s">
        <v>13</v>
      </c>
      <c r="E723">
        <v>12</v>
      </c>
      <c r="F723">
        <v>16</v>
      </c>
      <c r="G723">
        <v>192</v>
      </c>
      <c r="H723">
        <v>0.11</v>
      </c>
      <c r="I723">
        <v>21.12</v>
      </c>
      <c r="J723" t="s">
        <v>21</v>
      </c>
    </row>
    <row r="724" spans="1:10" x14ac:dyDescent="0.45">
      <c r="A724" t="s">
        <v>785</v>
      </c>
      <c r="B724" t="s">
        <v>102</v>
      </c>
      <c r="C724" t="s">
        <v>31</v>
      </c>
      <c r="D724" t="s">
        <v>28</v>
      </c>
      <c r="E724">
        <v>18</v>
      </c>
      <c r="F724">
        <v>16</v>
      </c>
      <c r="G724">
        <v>288</v>
      </c>
      <c r="H724">
        <v>0.04</v>
      </c>
      <c r="I724">
        <v>11.52</v>
      </c>
      <c r="J724" t="s">
        <v>38</v>
      </c>
    </row>
    <row r="725" spans="1:10" x14ac:dyDescent="0.45">
      <c r="A725" t="s">
        <v>786</v>
      </c>
      <c r="B725" t="s">
        <v>102</v>
      </c>
      <c r="C725" t="s">
        <v>16</v>
      </c>
      <c r="D725" t="s">
        <v>25</v>
      </c>
      <c r="E725">
        <v>20</v>
      </c>
      <c r="F725">
        <v>40</v>
      </c>
      <c r="G725">
        <v>800</v>
      </c>
      <c r="H725">
        <v>0.01</v>
      </c>
      <c r="I725">
        <v>8</v>
      </c>
      <c r="J725" t="s">
        <v>21</v>
      </c>
    </row>
    <row r="726" spans="1:10" x14ac:dyDescent="0.45">
      <c r="A726" t="s">
        <v>787</v>
      </c>
      <c r="B726" t="s">
        <v>102</v>
      </c>
      <c r="C726" t="s">
        <v>35</v>
      </c>
      <c r="D726" t="s">
        <v>32</v>
      </c>
      <c r="E726">
        <v>7</v>
      </c>
      <c r="F726">
        <v>150</v>
      </c>
      <c r="G726">
        <v>1050</v>
      </c>
      <c r="H726">
        <v>0.03</v>
      </c>
      <c r="I726">
        <v>31.5</v>
      </c>
      <c r="J726" t="s">
        <v>38</v>
      </c>
    </row>
    <row r="727" spans="1:10" x14ac:dyDescent="0.45">
      <c r="A727" t="s">
        <v>788</v>
      </c>
      <c r="B727" t="s">
        <v>102</v>
      </c>
      <c r="C727" t="s">
        <v>16</v>
      </c>
      <c r="D727" t="s">
        <v>28</v>
      </c>
      <c r="E727">
        <v>23</v>
      </c>
      <c r="F727">
        <v>40</v>
      </c>
      <c r="G727">
        <v>920</v>
      </c>
      <c r="H727">
        <v>0.06</v>
      </c>
      <c r="I727">
        <v>55.199999999999996</v>
      </c>
      <c r="J727" t="s">
        <v>21</v>
      </c>
    </row>
    <row r="728" spans="1:10" x14ac:dyDescent="0.45">
      <c r="A728" t="s">
        <v>789</v>
      </c>
      <c r="B728" t="s">
        <v>102</v>
      </c>
      <c r="C728" t="s">
        <v>12</v>
      </c>
      <c r="D728" t="s">
        <v>13</v>
      </c>
      <c r="E728">
        <v>7</v>
      </c>
      <c r="F728">
        <v>80</v>
      </c>
      <c r="G728">
        <v>560</v>
      </c>
      <c r="H728">
        <v>0.02</v>
      </c>
      <c r="I728">
        <v>11.200000000000001</v>
      </c>
      <c r="J728" t="s">
        <v>38</v>
      </c>
    </row>
    <row r="729" spans="1:10" x14ac:dyDescent="0.45">
      <c r="A729" t="s">
        <v>790</v>
      </c>
      <c r="B729" t="s">
        <v>102</v>
      </c>
      <c r="C729" t="s">
        <v>35</v>
      </c>
      <c r="D729" t="s">
        <v>17</v>
      </c>
      <c r="E729">
        <v>16</v>
      </c>
      <c r="F729">
        <v>150</v>
      </c>
      <c r="G729">
        <v>2400</v>
      </c>
      <c r="H729">
        <v>0.05</v>
      </c>
      <c r="I729">
        <v>120</v>
      </c>
      <c r="J729" t="s">
        <v>21</v>
      </c>
    </row>
    <row r="730" spans="1:10" x14ac:dyDescent="0.45">
      <c r="A730" t="s">
        <v>791</v>
      </c>
      <c r="B730" t="s">
        <v>102</v>
      </c>
      <c r="C730" t="s">
        <v>20</v>
      </c>
      <c r="D730" t="s">
        <v>17</v>
      </c>
      <c r="E730">
        <v>6</v>
      </c>
      <c r="F730">
        <v>230</v>
      </c>
      <c r="G730">
        <v>1380</v>
      </c>
      <c r="H730">
        <v>0.1</v>
      </c>
      <c r="I730">
        <v>138</v>
      </c>
      <c r="J730" t="s">
        <v>38</v>
      </c>
    </row>
    <row r="731" spans="1:10" x14ac:dyDescent="0.45">
      <c r="A731" t="s">
        <v>792</v>
      </c>
      <c r="B731" t="s">
        <v>116</v>
      </c>
      <c r="C731" t="s">
        <v>16</v>
      </c>
      <c r="D731" t="s">
        <v>32</v>
      </c>
      <c r="E731">
        <v>7</v>
      </c>
      <c r="F731">
        <v>40</v>
      </c>
      <c r="G731">
        <v>280</v>
      </c>
      <c r="H731">
        <v>0.12</v>
      </c>
      <c r="I731">
        <v>33.6</v>
      </c>
      <c r="J731" t="s">
        <v>21</v>
      </c>
    </row>
    <row r="732" spans="1:10" x14ac:dyDescent="0.45">
      <c r="A732" t="s">
        <v>793</v>
      </c>
      <c r="B732" t="s">
        <v>116</v>
      </c>
      <c r="C732" t="s">
        <v>12</v>
      </c>
      <c r="D732" t="s">
        <v>25</v>
      </c>
      <c r="E732">
        <v>23</v>
      </c>
      <c r="F732">
        <v>80</v>
      </c>
      <c r="G732">
        <v>1840</v>
      </c>
      <c r="H732">
        <v>0.05</v>
      </c>
      <c r="I732">
        <v>92</v>
      </c>
      <c r="J732" t="s">
        <v>38</v>
      </c>
    </row>
    <row r="733" spans="1:10" x14ac:dyDescent="0.45">
      <c r="A733" t="s">
        <v>794</v>
      </c>
      <c r="B733" t="s">
        <v>116</v>
      </c>
      <c r="C733" t="s">
        <v>12</v>
      </c>
      <c r="D733" t="s">
        <v>28</v>
      </c>
      <c r="E733">
        <v>16</v>
      </c>
      <c r="F733">
        <v>80</v>
      </c>
      <c r="G733">
        <v>1280</v>
      </c>
      <c r="H733">
        <v>0.1</v>
      </c>
      <c r="I733">
        <v>128</v>
      </c>
      <c r="J733" t="s">
        <v>21</v>
      </c>
    </row>
    <row r="734" spans="1:10" x14ac:dyDescent="0.45">
      <c r="A734" t="s">
        <v>795</v>
      </c>
      <c r="B734" t="s">
        <v>116</v>
      </c>
      <c r="C734" t="s">
        <v>12</v>
      </c>
      <c r="D734" t="s">
        <v>13</v>
      </c>
      <c r="E734">
        <v>16</v>
      </c>
      <c r="F734">
        <v>80</v>
      </c>
      <c r="G734">
        <v>1280</v>
      </c>
      <c r="H734">
        <v>0.03</v>
      </c>
      <c r="I734">
        <v>38.4</v>
      </c>
      <c r="J734" t="s">
        <v>38</v>
      </c>
    </row>
    <row r="735" spans="1:10" x14ac:dyDescent="0.45">
      <c r="A735" t="s">
        <v>796</v>
      </c>
      <c r="B735" t="s">
        <v>116</v>
      </c>
      <c r="C735" t="s">
        <v>12</v>
      </c>
      <c r="D735" t="s">
        <v>32</v>
      </c>
      <c r="E735">
        <v>22</v>
      </c>
      <c r="F735">
        <v>80</v>
      </c>
      <c r="G735">
        <v>1760</v>
      </c>
      <c r="H735">
        <v>0.09</v>
      </c>
      <c r="I735">
        <v>158.4</v>
      </c>
      <c r="J735" t="s">
        <v>21</v>
      </c>
    </row>
    <row r="736" spans="1:10" x14ac:dyDescent="0.45">
      <c r="A736" t="s">
        <v>797</v>
      </c>
      <c r="B736" t="s">
        <v>116</v>
      </c>
      <c r="C736" t="s">
        <v>31</v>
      </c>
      <c r="D736" t="s">
        <v>13</v>
      </c>
      <c r="E736">
        <v>18</v>
      </c>
      <c r="F736">
        <v>16</v>
      </c>
      <c r="G736">
        <v>288</v>
      </c>
      <c r="H736">
        <v>0.05</v>
      </c>
      <c r="I736">
        <v>14.4</v>
      </c>
      <c r="J736" t="s">
        <v>38</v>
      </c>
    </row>
    <row r="737" spans="1:10" x14ac:dyDescent="0.45">
      <c r="A737" t="s">
        <v>798</v>
      </c>
      <c r="B737" t="s">
        <v>116</v>
      </c>
      <c r="C737" t="s">
        <v>20</v>
      </c>
      <c r="D737" t="s">
        <v>32</v>
      </c>
      <c r="E737">
        <v>5</v>
      </c>
      <c r="F737">
        <v>230</v>
      </c>
      <c r="G737">
        <v>1150</v>
      </c>
      <c r="H737">
        <v>0.12</v>
      </c>
      <c r="I737">
        <v>138</v>
      </c>
      <c r="J737" t="s">
        <v>21</v>
      </c>
    </row>
    <row r="738" spans="1:10" x14ac:dyDescent="0.45">
      <c r="A738" t="s">
        <v>799</v>
      </c>
      <c r="B738" t="s">
        <v>116</v>
      </c>
      <c r="C738" t="s">
        <v>35</v>
      </c>
      <c r="D738" t="s">
        <v>32</v>
      </c>
      <c r="E738">
        <v>7</v>
      </c>
      <c r="F738">
        <v>150</v>
      </c>
      <c r="G738">
        <v>1050</v>
      </c>
      <c r="H738">
        <v>0.02</v>
      </c>
      <c r="I738">
        <v>21</v>
      </c>
      <c r="J738" t="s">
        <v>38</v>
      </c>
    </row>
    <row r="739" spans="1:10" x14ac:dyDescent="0.45">
      <c r="A739" t="s">
        <v>800</v>
      </c>
      <c r="B739" t="s">
        <v>116</v>
      </c>
      <c r="C739" t="s">
        <v>16</v>
      </c>
      <c r="D739" t="s">
        <v>25</v>
      </c>
      <c r="E739">
        <v>2</v>
      </c>
      <c r="F739">
        <v>40</v>
      </c>
      <c r="G739">
        <v>80</v>
      </c>
      <c r="H739">
        <v>0.03</v>
      </c>
      <c r="I739">
        <v>2.4</v>
      </c>
      <c r="J739" t="s">
        <v>21</v>
      </c>
    </row>
    <row r="740" spans="1:10" x14ac:dyDescent="0.45">
      <c r="A740" t="s">
        <v>801</v>
      </c>
      <c r="B740" t="s">
        <v>116</v>
      </c>
      <c r="C740" t="s">
        <v>16</v>
      </c>
      <c r="D740" t="s">
        <v>28</v>
      </c>
      <c r="E740">
        <v>11</v>
      </c>
      <c r="F740">
        <v>40</v>
      </c>
      <c r="G740">
        <v>440</v>
      </c>
      <c r="H740">
        <v>0.06</v>
      </c>
      <c r="I740">
        <v>26.4</v>
      </c>
      <c r="J740" t="s">
        <v>38</v>
      </c>
    </row>
    <row r="741" spans="1:10" x14ac:dyDescent="0.45">
      <c r="A741" t="s">
        <v>802</v>
      </c>
      <c r="B741" t="s">
        <v>116</v>
      </c>
      <c r="C741" t="s">
        <v>12</v>
      </c>
      <c r="D741" t="s">
        <v>28</v>
      </c>
      <c r="E741">
        <v>7</v>
      </c>
      <c r="F741">
        <v>80</v>
      </c>
      <c r="G741">
        <v>560</v>
      </c>
      <c r="H741">
        <v>0.02</v>
      </c>
      <c r="I741">
        <v>11.200000000000001</v>
      </c>
      <c r="J741" t="s">
        <v>21</v>
      </c>
    </row>
    <row r="742" spans="1:10" x14ac:dyDescent="0.45">
      <c r="A742" t="s">
        <v>803</v>
      </c>
      <c r="B742" t="s">
        <v>128</v>
      </c>
      <c r="C742" t="s">
        <v>16</v>
      </c>
      <c r="D742" t="s">
        <v>25</v>
      </c>
      <c r="E742">
        <v>4</v>
      </c>
      <c r="F742">
        <v>40</v>
      </c>
      <c r="G742">
        <v>160</v>
      </c>
      <c r="H742">
        <v>0.11</v>
      </c>
      <c r="I742">
        <v>17.600000000000001</v>
      </c>
      <c r="J742" t="s">
        <v>38</v>
      </c>
    </row>
    <row r="743" spans="1:10" x14ac:dyDescent="0.45">
      <c r="A743" t="s">
        <v>804</v>
      </c>
      <c r="B743" t="s">
        <v>128</v>
      </c>
      <c r="C743" t="s">
        <v>16</v>
      </c>
      <c r="D743" t="s">
        <v>25</v>
      </c>
      <c r="E743">
        <v>2</v>
      </c>
      <c r="F743">
        <v>40</v>
      </c>
      <c r="G743">
        <v>80</v>
      </c>
      <c r="H743">
        <v>0.02</v>
      </c>
      <c r="I743">
        <v>1.6</v>
      </c>
      <c r="J743" t="s">
        <v>21</v>
      </c>
    </row>
    <row r="744" spans="1:10" x14ac:dyDescent="0.45">
      <c r="A744" t="s">
        <v>805</v>
      </c>
      <c r="B744" t="s">
        <v>128</v>
      </c>
      <c r="C744" t="s">
        <v>20</v>
      </c>
      <c r="D744" t="s">
        <v>28</v>
      </c>
      <c r="E744">
        <v>23</v>
      </c>
      <c r="F744">
        <v>230</v>
      </c>
      <c r="G744">
        <v>5290</v>
      </c>
      <c r="H744">
        <v>0.06</v>
      </c>
      <c r="I744">
        <v>317.39999999999998</v>
      </c>
      <c r="J744" t="s">
        <v>38</v>
      </c>
    </row>
    <row r="745" spans="1:10" x14ac:dyDescent="0.45">
      <c r="A745" t="s">
        <v>806</v>
      </c>
      <c r="B745" t="s">
        <v>128</v>
      </c>
      <c r="C745" t="s">
        <v>12</v>
      </c>
      <c r="D745" t="s">
        <v>32</v>
      </c>
      <c r="E745">
        <v>21</v>
      </c>
      <c r="F745">
        <v>80</v>
      </c>
      <c r="G745">
        <v>1680</v>
      </c>
      <c r="H745">
        <v>0.09</v>
      </c>
      <c r="I745">
        <v>151.19999999999999</v>
      </c>
      <c r="J745" t="s">
        <v>21</v>
      </c>
    </row>
    <row r="746" spans="1:10" x14ac:dyDescent="0.45">
      <c r="A746" t="s">
        <v>807</v>
      </c>
      <c r="B746" t="s">
        <v>128</v>
      </c>
      <c r="C746" t="s">
        <v>12</v>
      </c>
      <c r="D746" t="s">
        <v>32</v>
      </c>
      <c r="E746">
        <v>9</v>
      </c>
      <c r="F746">
        <v>80</v>
      </c>
      <c r="G746">
        <v>720</v>
      </c>
      <c r="H746">
        <v>0.06</v>
      </c>
      <c r="I746">
        <v>43.199999999999996</v>
      </c>
      <c r="J746" t="s">
        <v>38</v>
      </c>
    </row>
    <row r="747" spans="1:10" x14ac:dyDescent="0.45">
      <c r="A747" t="s">
        <v>808</v>
      </c>
      <c r="B747" t="s">
        <v>128</v>
      </c>
      <c r="C747" t="s">
        <v>12</v>
      </c>
      <c r="D747" t="s">
        <v>32</v>
      </c>
      <c r="E747">
        <v>22</v>
      </c>
      <c r="F747">
        <v>80</v>
      </c>
      <c r="G747">
        <v>1760</v>
      </c>
      <c r="H747">
        <v>0.11</v>
      </c>
      <c r="I747">
        <v>193.6</v>
      </c>
      <c r="J747" t="s">
        <v>21</v>
      </c>
    </row>
    <row r="748" spans="1:10" x14ac:dyDescent="0.45">
      <c r="A748" t="s">
        <v>809</v>
      </c>
      <c r="B748" t="s">
        <v>135</v>
      </c>
      <c r="C748" t="s">
        <v>20</v>
      </c>
      <c r="D748" t="s">
        <v>25</v>
      </c>
      <c r="E748">
        <v>15</v>
      </c>
      <c r="F748">
        <v>230</v>
      </c>
      <c r="G748">
        <v>3450</v>
      </c>
      <c r="H748">
        <v>0.11</v>
      </c>
      <c r="I748">
        <v>379.5</v>
      </c>
      <c r="J748" t="s">
        <v>38</v>
      </c>
    </row>
    <row r="749" spans="1:10" x14ac:dyDescent="0.45">
      <c r="A749" t="s">
        <v>810</v>
      </c>
      <c r="B749" t="s">
        <v>135</v>
      </c>
      <c r="C749" t="s">
        <v>16</v>
      </c>
      <c r="D749" t="s">
        <v>17</v>
      </c>
      <c r="E749">
        <v>7</v>
      </c>
      <c r="F749">
        <v>40</v>
      </c>
      <c r="G749">
        <v>280</v>
      </c>
      <c r="H749">
        <v>0.01</v>
      </c>
      <c r="I749">
        <v>2.8000000000000003</v>
      </c>
      <c r="J749" t="s">
        <v>21</v>
      </c>
    </row>
    <row r="750" spans="1:10" x14ac:dyDescent="0.45">
      <c r="A750" t="s">
        <v>811</v>
      </c>
      <c r="B750" t="s">
        <v>135</v>
      </c>
      <c r="C750" t="s">
        <v>35</v>
      </c>
      <c r="D750" t="s">
        <v>32</v>
      </c>
      <c r="E750">
        <v>17</v>
      </c>
      <c r="F750">
        <v>150</v>
      </c>
      <c r="G750">
        <v>2550</v>
      </c>
      <c r="H750">
        <v>0.02</v>
      </c>
      <c r="I750">
        <v>51</v>
      </c>
      <c r="J750" t="s">
        <v>38</v>
      </c>
    </row>
    <row r="751" spans="1:10" x14ac:dyDescent="0.45">
      <c r="A751" t="s">
        <v>812</v>
      </c>
      <c r="B751" t="s">
        <v>135</v>
      </c>
      <c r="C751" t="s">
        <v>35</v>
      </c>
      <c r="D751" t="s">
        <v>17</v>
      </c>
      <c r="E751">
        <v>22</v>
      </c>
      <c r="F751">
        <v>150</v>
      </c>
      <c r="G751">
        <v>3300</v>
      </c>
      <c r="H751">
        <v>0.02</v>
      </c>
      <c r="I751">
        <v>66</v>
      </c>
      <c r="J751" t="s">
        <v>21</v>
      </c>
    </row>
    <row r="752" spans="1:10" x14ac:dyDescent="0.45">
      <c r="A752" t="s">
        <v>813</v>
      </c>
      <c r="B752" t="s">
        <v>135</v>
      </c>
      <c r="C752" t="s">
        <v>20</v>
      </c>
      <c r="D752" t="s">
        <v>25</v>
      </c>
      <c r="E752">
        <v>10</v>
      </c>
      <c r="F752">
        <v>230</v>
      </c>
      <c r="G752">
        <v>2300</v>
      </c>
      <c r="H752">
        <v>0.02</v>
      </c>
      <c r="I752">
        <v>46</v>
      </c>
      <c r="J752" t="s">
        <v>38</v>
      </c>
    </row>
    <row r="753" spans="1:10" x14ac:dyDescent="0.45">
      <c r="A753" t="s">
        <v>814</v>
      </c>
      <c r="B753" t="s">
        <v>135</v>
      </c>
      <c r="C753" t="s">
        <v>16</v>
      </c>
      <c r="D753" t="s">
        <v>32</v>
      </c>
      <c r="E753">
        <v>21</v>
      </c>
      <c r="F753">
        <v>40</v>
      </c>
      <c r="G753">
        <v>840</v>
      </c>
      <c r="H753">
        <v>0.01</v>
      </c>
      <c r="I753">
        <v>8.4</v>
      </c>
      <c r="J753" t="s">
        <v>21</v>
      </c>
    </row>
    <row r="754" spans="1:10" x14ac:dyDescent="0.45">
      <c r="A754" t="s">
        <v>815</v>
      </c>
      <c r="B754" t="s">
        <v>135</v>
      </c>
      <c r="C754" t="s">
        <v>20</v>
      </c>
      <c r="D754" t="s">
        <v>25</v>
      </c>
      <c r="E754">
        <v>5</v>
      </c>
      <c r="F754">
        <v>230</v>
      </c>
      <c r="G754">
        <v>1150</v>
      </c>
      <c r="H754">
        <v>0.1</v>
      </c>
      <c r="I754">
        <v>115</v>
      </c>
      <c r="J754" t="s">
        <v>38</v>
      </c>
    </row>
    <row r="755" spans="1:10" x14ac:dyDescent="0.45">
      <c r="A755" t="s">
        <v>816</v>
      </c>
      <c r="B755" t="s">
        <v>135</v>
      </c>
      <c r="C755" t="s">
        <v>20</v>
      </c>
      <c r="D755" t="s">
        <v>32</v>
      </c>
      <c r="E755">
        <v>13</v>
      </c>
      <c r="F755">
        <v>230</v>
      </c>
      <c r="G755">
        <v>2990</v>
      </c>
      <c r="H755">
        <v>0.06</v>
      </c>
      <c r="I755">
        <v>179.4</v>
      </c>
      <c r="J755" t="s">
        <v>21</v>
      </c>
    </row>
    <row r="756" spans="1:10" x14ac:dyDescent="0.45">
      <c r="A756" t="s">
        <v>817</v>
      </c>
      <c r="B756" t="s">
        <v>135</v>
      </c>
      <c r="C756" t="s">
        <v>35</v>
      </c>
      <c r="D756" t="s">
        <v>13</v>
      </c>
      <c r="E756">
        <v>23</v>
      </c>
      <c r="F756">
        <v>150</v>
      </c>
      <c r="G756">
        <v>3450</v>
      </c>
      <c r="H756">
        <v>0.1</v>
      </c>
      <c r="I756">
        <v>345</v>
      </c>
      <c r="J756" t="s">
        <v>38</v>
      </c>
    </row>
    <row r="757" spans="1:10" x14ac:dyDescent="0.45">
      <c r="A757" t="s">
        <v>818</v>
      </c>
      <c r="B757" t="s">
        <v>135</v>
      </c>
      <c r="C757" t="s">
        <v>35</v>
      </c>
      <c r="D757" t="s">
        <v>13</v>
      </c>
      <c r="E757">
        <v>20</v>
      </c>
      <c r="F757">
        <v>150</v>
      </c>
      <c r="G757">
        <v>3000</v>
      </c>
      <c r="H757">
        <v>0.03</v>
      </c>
      <c r="I757">
        <v>90</v>
      </c>
      <c r="J757" t="s">
        <v>21</v>
      </c>
    </row>
    <row r="758" spans="1:10" x14ac:dyDescent="0.45">
      <c r="A758" t="s">
        <v>819</v>
      </c>
      <c r="B758" t="s">
        <v>155</v>
      </c>
      <c r="C758" t="s">
        <v>20</v>
      </c>
      <c r="D758" t="s">
        <v>13</v>
      </c>
      <c r="E758">
        <v>3</v>
      </c>
      <c r="F758">
        <v>230</v>
      </c>
      <c r="G758">
        <v>690</v>
      </c>
      <c r="H758">
        <v>0.11</v>
      </c>
      <c r="I758">
        <v>75.900000000000006</v>
      </c>
      <c r="J758" t="s">
        <v>38</v>
      </c>
    </row>
    <row r="759" spans="1:10" x14ac:dyDescent="0.45">
      <c r="A759" t="s">
        <v>820</v>
      </c>
      <c r="B759" t="s">
        <v>155</v>
      </c>
      <c r="C759" t="s">
        <v>35</v>
      </c>
      <c r="D759" t="s">
        <v>17</v>
      </c>
      <c r="E759">
        <v>16</v>
      </c>
      <c r="F759">
        <v>150</v>
      </c>
      <c r="G759">
        <v>2400</v>
      </c>
      <c r="H759">
        <v>0.08</v>
      </c>
      <c r="I759">
        <v>192</v>
      </c>
      <c r="J759" t="s">
        <v>21</v>
      </c>
    </row>
    <row r="760" spans="1:10" x14ac:dyDescent="0.45">
      <c r="A760" t="s">
        <v>821</v>
      </c>
      <c r="B760" t="s">
        <v>155</v>
      </c>
      <c r="C760" t="s">
        <v>31</v>
      </c>
      <c r="D760" t="s">
        <v>32</v>
      </c>
      <c r="E760">
        <v>14</v>
      </c>
      <c r="F760">
        <v>16</v>
      </c>
      <c r="G760">
        <v>224</v>
      </c>
      <c r="H760">
        <v>0.06</v>
      </c>
      <c r="I760">
        <v>13.44</v>
      </c>
      <c r="J760" t="s">
        <v>38</v>
      </c>
    </row>
    <row r="761" spans="1:10" x14ac:dyDescent="0.45">
      <c r="A761" t="s">
        <v>822</v>
      </c>
      <c r="B761" t="s">
        <v>155</v>
      </c>
      <c r="C761" t="s">
        <v>35</v>
      </c>
      <c r="D761" t="s">
        <v>17</v>
      </c>
      <c r="E761">
        <v>16</v>
      </c>
      <c r="F761">
        <v>150</v>
      </c>
      <c r="G761">
        <v>2400</v>
      </c>
      <c r="H761">
        <v>0.03</v>
      </c>
      <c r="I761">
        <v>72</v>
      </c>
      <c r="J761" t="s">
        <v>21</v>
      </c>
    </row>
    <row r="762" spans="1:10" x14ac:dyDescent="0.45">
      <c r="A762" t="s">
        <v>823</v>
      </c>
      <c r="B762" t="s">
        <v>155</v>
      </c>
      <c r="C762" t="s">
        <v>31</v>
      </c>
      <c r="D762" t="s">
        <v>32</v>
      </c>
      <c r="E762">
        <v>19</v>
      </c>
      <c r="F762">
        <v>16</v>
      </c>
      <c r="G762">
        <v>304</v>
      </c>
      <c r="H762">
        <v>0.02</v>
      </c>
      <c r="I762">
        <v>6.08</v>
      </c>
      <c r="J762" t="s">
        <v>38</v>
      </c>
    </row>
    <row r="763" spans="1:10" x14ac:dyDescent="0.45">
      <c r="A763" t="s">
        <v>824</v>
      </c>
      <c r="B763" t="s">
        <v>155</v>
      </c>
      <c r="C763" t="s">
        <v>12</v>
      </c>
      <c r="D763" t="s">
        <v>32</v>
      </c>
      <c r="E763">
        <v>6</v>
      </c>
      <c r="F763">
        <v>80</v>
      </c>
      <c r="G763">
        <v>480</v>
      </c>
      <c r="H763">
        <v>0.09</v>
      </c>
      <c r="I763">
        <v>43.199999999999996</v>
      </c>
      <c r="J763" t="s">
        <v>21</v>
      </c>
    </row>
    <row r="764" spans="1:10" x14ac:dyDescent="0.45">
      <c r="A764" t="s">
        <v>825</v>
      </c>
      <c r="B764" t="s">
        <v>155</v>
      </c>
      <c r="C764" t="s">
        <v>12</v>
      </c>
      <c r="D764" t="s">
        <v>32</v>
      </c>
      <c r="E764">
        <v>9</v>
      </c>
      <c r="F764">
        <v>80</v>
      </c>
      <c r="G764">
        <v>720</v>
      </c>
      <c r="H764">
        <v>7.0000000000000007E-2</v>
      </c>
      <c r="I764">
        <v>50.400000000000006</v>
      </c>
      <c r="J764" t="s">
        <v>38</v>
      </c>
    </row>
    <row r="765" spans="1:10" x14ac:dyDescent="0.45">
      <c r="A765" t="s">
        <v>826</v>
      </c>
      <c r="B765" t="s">
        <v>155</v>
      </c>
      <c r="C765" t="s">
        <v>35</v>
      </c>
      <c r="D765" t="s">
        <v>17</v>
      </c>
      <c r="E765">
        <v>20</v>
      </c>
      <c r="F765">
        <v>150</v>
      </c>
      <c r="G765">
        <v>3000</v>
      </c>
      <c r="H765">
        <v>0.09</v>
      </c>
      <c r="I765">
        <v>270</v>
      </c>
      <c r="J765" t="s">
        <v>21</v>
      </c>
    </row>
    <row r="766" spans="1:10" x14ac:dyDescent="0.45">
      <c r="A766" t="s">
        <v>827</v>
      </c>
      <c r="B766" t="s">
        <v>155</v>
      </c>
      <c r="C766" t="s">
        <v>12</v>
      </c>
      <c r="D766" t="s">
        <v>25</v>
      </c>
      <c r="E766">
        <v>10</v>
      </c>
      <c r="F766">
        <v>80</v>
      </c>
      <c r="G766">
        <v>800</v>
      </c>
      <c r="H766">
        <v>0.11</v>
      </c>
      <c r="I766">
        <v>88</v>
      </c>
      <c r="J766" t="s">
        <v>38</v>
      </c>
    </row>
    <row r="767" spans="1:10" x14ac:dyDescent="0.45">
      <c r="A767" t="s">
        <v>828</v>
      </c>
      <c r="B767" t="s">
        <v>155</v>
      </c>
      <c r="C767" t="s">
        <v>31</v>
      </c>
      <c r="D767" t="s">
        <v>13</v>
      </c>
      <c r="E767">
        <v>4</v>
      </c>
      <c r="F767">
        <v>16</v>
      </c>
      <c r="G767">
        <v>64</v>
      </c>
      <c r="H767">
        <v>0.12</v>
      </c>
      <c r="I767">
        <v>7.68</v>
      </c>
      <c r="J767" t="s">
        <v>21</v>
      </c>
    </row>
    <row r="768" spans="1:10" x14ac:dyDescent="0.45">
      <c r="A768" t="s">
        <v>829</v>
      </c>
      <c r="B768" t="s">
        <v>155</v>
      </c>
      <c r="C768" t="s">
        <v>16</v>
      </c>
      <c r="D768" t="s">
        <v>32</v>
      </c>
      <c r="E768">
        <v>16</v>
      </c>
      <c r="F768">
        <v>40</v>
      </c>
      <c r="G768">
        <v>640</v>
      </c>
      <c r="H768">
        <v>0.11</v>
      </c>
      <c r="I768">
        <v>70.400000000000006</v>
      </c>
      <c r="J768" t="s">
        <v>38</v>
      </c>
    </row>
    <row r="769" spans="1:10" x14ac:dyDescent="0.45">
      <c r="A769" t="s">
        <v>830</v>
      </c>
      <c r="B769" t="s">
        <v>163</v>
      </c>
      <c r="C769" t="s">
        <v>12</v>
      </c>
      <c r="D769" t="s">
        <v>17</v>
      </c>
      <c r="E769">
        <v>5</v>
      </c>
      <c r="F769">
        <v>80</v>
      </c>
      <c r="G769">
        <v>400</v>
      </c>
      <c r="H769">
        <v>0.04</v>
      </c>
      <c r="I769">
        <v>16</v>
      </c>
      <c r="J769" t="s">
        <v>21</v>
      </c>
    </row>
    <row r="770" spans="1:10" x14ac:dyDescent="0.45">
      <c r="A770" t="s">
        <v>831</v>
      </c>
      <c r="B770" t="s">
        <v>163</v>
      </c>
      <c r="C770" t="s">
        <v>31</v>
      </c>
      <c r="D770" t="s">
        <v>25</v>
      </c>
      <c r="E770">
        <v>11</v>
      </c>
      <c r="F770">
        <v>16</v>
      </c>
      <c r="G770">
        <v>176</v>
      </c>
      <c r="H770">
        <v>0.04</v>
      </c>
      <c r="I770">
        <v>7.04</v>
      </c>
      <c r="J770" t="s">
        <v>38</v>
      </c>
    </row>
    <row r="771" spans="1:10" x14ac:dyDescent="0.45">
      <c r="A771" t="s">
        <v>832</v>
      </c>
      <c r="B771" t="s">
        <v>163</v>
      </c>
      <c r="C771" t="s">
        <v>35</v>
      </c>
      <c r="D771" t="s">
        <v>13</v>
      </c>
      <c r="E771">
        <v>17</v>
      </c>
      <c r="F771">
        <v>150</v>
      </c>
      <c r="G771">
        <v>2550</v>
      </c>
      <c r="H771">
        <v>0.12</v>
      </c>
      <c r="I771">
        <v>306</v>
      </c>
      <c r="J771" t="s">
        <v>21</v>
      </c>
    </row>
    <row r="772" spans="1:10" x14ac:dyDescent="0.45">
      <c r="A772" t="s">
        <v>833</v>
      </c>
      <c r="B772" t="s">
        <v>163</v>
      </c>
      <c r="C772" t="s">
        <v>20</v>
      </c>
      <c r="D772" t="s">
        <v>17</v>
      </c>
      <c r="E772">
        <v>19</v>
      </c>
      <c r="F772">
        <v>230</v>
      </c>
      <c r="G772">
        <v>4370</v>
      </c>
      <c r="H772">
        <v>0.11</v>
      </c>
      <c r="I772">
        <v>480.7</v>
      </c>
      <c r="J772" t="s">
        <v>38</v>
      </c>
    </row>
    <row r="773" spans="1:10" x14ac:dyDescent="0.45">
      <c r="A773" t="s">
        <v>834</v>
      </c>
      <c r="B773" t="s">
        <v>163</v>
      </c>
      <c r="C773" t="s">
        <v>12</v>
      </c>
      <c r="D773" t="s">
        <v>13</v>
      </c>
      <c r="E773">
        <v>21</v>
      </c>
      <c r="F773">
        <v>80</v>
      </c>
      <c r="G773">
        <v>1680</v>
      </c>
      <c r="H773">
        <v>0.04</v>
      </c>
      <c r="I773">
        <v>67.2</v>
      </c>
      <c r="J773" t="s">
        <v>21</v>
      </c>
    </row>
    <row r="774" spans="1:10" x14ac:dyDescent="0.45">
      <c r="A774" t="s">
        <v>835</v>
      </c>
      <c r="B774" t="s">
        <v>163</v>
      </c>
      <c r="C774" t="s">
        <v>20</v>
      </c>
      <c r="D774" t="s">
        <v>17</v>
      </c>
      <c r="E774">
        <v>7</v>
      </c>
      <c r="F774">
        <v>230</v>
      </c>
      <c r="G774">
        <v>1610</v>
      </c>
      <c r="H774">
        <v>0.01</v>
      </c>
      <c r="I774">
        <v>16.100000000000001</v>
      </c>
      <c r="J774" t="s">
        <v>38</v>
      </c>
    </row>
    <row r="775" spans="1:10" x14ac:dyDescent="0.45">
      <c r="A775" t="s">
        <v>836</v>
      </c>
      <c r="B775" t="s">
        <v>163</v>
      </c>
      <c r="C775" t="s">
        <v>16</v>
      </c>
      <c r="D775" t="s">
        <v>25</v>
      </c>
      <c r="E775">
        <v>2</v>
      </c>
      <c r="F775">
        <v>40</v>
      </c>
      <c r="G775">
        <v>80</v>
      </c>
      <c r="H775">
        <v>0.03</v>
      </c>
      <c r="I775">
        <v>2.4</v>
      </c>
      <c r="J775" t="s">
        <v>21</v>
      </c>
    </row>
    <row r="776" spans="1:10" x14ac:dyDescent="0.45">
      <c r="A776" t="s">
        <v>837</v>
      </c>
      <c r="B776" t="s">
        <v>163</v>
      </c>
      <c r="C776" t="s">
        <v>35</v>
      </c>
      <c r="D776" t="s">
        <v>13</v>
      </c>
      <c r="E776">
        <v>7</v>
      </c>
      <c r="F776">
        <v>150</v>
      </c>
      <c r="G776">
        <v>1050</v>
      </c>
      <c r="H776">
        <v>0.02</v>
      </c>
      <c r="I776">
        <v>21</v>
      </c>
      <c r="J776" t="s">
        <v>38</v>
      </c>
    </row>
    <row r="777" spans="1:10" x14ac:dyDescent="0.45">
      <c r="A777" t="s">
        <v>838</v>
      </c>
      <c r="B777" t="s">
        <v>171</v>
      </c>
      <c r="C777" t="s">
        <v>12</v>
      </c>
      <c r="D777" t="s">
        <v>25</v>
      </c>
      <c r="E777">
        <v>16</v>
      </c>
      <c r="F777">
        <v>80</v>
      </c>
      <c r="G777">
        <v>1280</v>
      </c>
      <c r="H777">
        <v>0.04</v>
      </c>
      <c r="I777">
        <v>51.2</v>
      </c>
      <c r="J777" t="s">
        <v>21</v>
      </c>
    </row>
    <row r="778" spans="1:10" x14ac:dyDescent="0.45">
      <c r="A778" t="s">
        <v>839</v>
      </c>
      <c r="B778" t="s">
        <v>171</v>
      </c>
      <c r="C778" t="s">
        <v>16</v>
      </c>
      <c r="D778" t="s">
        <v>17</v>
      </c>
      <c r="E778">
        <v>4</v>
      </c>
      <c r="F778">
        <v>40</v>
      </c>
      <c r="G778">
        <v>160</v>
      </c>
      <c r="H778">
        <v>0.12</v>
      </c>
      <c r="I778">
        <v>19.2</v>
      </c>
      <c r="J778" t="s">
        <v>38</v>
      </c>
    </row>
    <row r="779" spans="1:10" x14ac:dyDescent="0.45">
      <c r="A779" t="s">
        <v>840</v>
      </c>
      <c r="B779" t="s">
        <v>171</v>
      </c>
      <c r="C779" t="s">
        <v>31</v>
      </c>
      <c r="D779" t="s">
        <v>13</v>
      </c>
      <c r="E779">
        <v>22</v>
      </c>
      <c r="F779">
        <v>16</v>
      </c>
      <c r="G779">
        <v>352</v>
      </c>
      <c r="H779">
        <v>0.01</v>
      </c>
      <c r="I779">
        <v>3.52</v>
      </c>
      <c r="J779" t="s">
        <v>21</v>
      </c>
    </row>
    <row r="780" spans="1:10" x14ac:dyDescent="0.45">
      <c r="A780" t="s">
        <v>841</v>
      </c>
      <c r="B780" t="s">
        <v>171</v>
      </c>
      <c r="C780" t="s">
        <v>16</v>
      </c>
      <c r="D780" t="s">
        <v>28</v>
      </c>
      <c r="E780">
        <v>18</v>
      </c>
      <c r="F780">
        <v>40</v>
      </c>
      <c r="G780">
        <v>720</v>
      </c>
      <c r="H780">
        <v>0.06</v>
      </c>
      <c r="I780">
        <v>43.199999999999996</v>
      </c>
      <c r="J780" t="s">
        <v>38</v>
      </c>
    </row>
    <row r="781" spans="1:10" x14ac:dyDescent="0.45">
      <c r="A781" t="s">
        <v>842</v>
      </c>
      <c r="B781" t="s">
        <v>171</v>
      </c>
      <c r="C781" t="s">
        <v>12</v>
      </c>
      <c r="D781" t="s">
        <v>25</v>
      </c>
      <c r="E781">
        <v>6</v>
      </c>
      <c r="F781">
        <v>80</v>
      </c>
      <c r="G781">
        <v>480</v>
      </c>
      <c r="H781">
        <v>0.01</v>
      </c>
      <c r="I781">
        <v>4.8</v>
      </c>
      <c r="J781" t="s">
        <v>21</v>
      </c>
    </row>
    <row r="782" spans="1:10" x14ac:dyDescent="0.45">
      <c r="A782" t="s">
        <v>843</v>
      </c>
      <c r="B782" t="s">
        <v>171</v>
      </c>
      <c r="C782" t="s">
        <v>20</v>
      </c>
      <c r="D782" t="s">
        <v>25</v>
      </c>
      <c r="E782">
        <v>2</v>
      </c>
      <c r="F782">
        <v>230</v>
      </c>
      <c r="G782">
        <v>460</v>
      </c>
      <c r="H782">
        <v>0.09</v>
      </c>
      <c r="I782">
        <v>41.4</v>
      </c>
      <c r="J782" t="s">
        <v>38</v>
      </c>
    </row>
    <row r="783" spans="1:10" x14ac:dyDescent="0.45">
      <c r="A783" t="s">
        <v>844</v>
      </c>
      <c r="B783" t="s">
        <v>182</v>
      </c>
      <c r="C783" t="s">
        <v>35</v>
      </c>
      <c r="D783" t="s">
        <v>32</v>
      </c>
      <c r="E783">
        <v>11</v>
      </c>
      <c r="F783">
        <v>150</v>
      </c>
      <c r="G783">
        <v>1650</v>
      </c>
      <c r="H783">
        <v>0.09</v>
      </c>
      <c r="I783">
        <v>148.5</v>
      </c>
      <c r="J783" t="s">
        <v>21</v>
      </c>
    </row>
    <row r="784" spans="1:10" x14ac:dyDescent="0.45">
      <c r="A784" t="s">
        <v>845</v>
      </c>
      <c r="B784" t="s">
        <v>182</v>
      </c>
      <c r="C784" t="s">
        <v>35</v>
      </c>
      <c r="D784" t="s">
        <v>28</v>
      </c>
      <c r="E784">
        <v>15</v>
      </c>
      <c r="F784">
        <v>150</v>
      </c>
      <c r="G784">
        <v>2250</v>
      </c>
      <c r="H784">
        <v>0.08</v>
      </c>
      <c r="I784">
        <v>180</v>
      </c>
      <c r="J784" t="s">
        <v>38</v>
      </c>
    </row>
    <row r="785" spans="1:10" x14ac:dyDescent="0.45">
      <c r="A785" t="s">
        <v>846</v>
      </c>
      <c r="B785" t="s">
        <v>182</v>
      </c>
      <c r="C785" t="s">
        <v>12</v>
      </c>
      <c r="D785" t="s">
        <v>13</v>
      </c>
      <c r="E785">
        <v>17</v>
      </c>
      <c r="F785">
        <v>80</v>
      </c>
      <c r="G785">
        <v>1360</v>
      </c>
      <c r="H785">
        <v>0.09</v>
      </c>
      <c r="I785">
        <v>122.39999999999999</v>
      </c>
      <c r="J785" t="s">
        <v>21</v>
      </c>
    </row>
    <row r="786" spans="1:10" x14ac:dyDescent="0.45">
      <c r="A786" t="s">
        <v>847</v>
      </c>
      <c r="B786" t="s">
        <v>182</v>
      </c>
      <c r="C786" t="s">
        <v>35</v>
      </c>
      <c r="D786" t="s">
        <v>32</v>
      </c>
      <c r="E786">
        <v>13</v>
      </c>
      <c r="F786">
        <v>150</v>
      </c>
      <c r="G786">
        <v>1950</v>
      </c>
      <c r="H786">
        <v>0.11</v>
      </c>
      <c r="I786">
        <v>214.5</v>
      </c>
      <c r="J786" t="s">
        <v>38</v>
      </c>
    </row>
    <row r="787" spans="1:10" x14ac:dyDescent="0.45">
      <c r="A787" t="s">
        <v>848</v>
      </c>
      <c r="B787" t="s">
        <v>182</v>
      </c>
      <c r="C787" t="s">
        <v>16</v>
      </c>
      <c r="D787" t="s">
        <v>28</v>
      </c>
      <c r="E787">
        <v>7</v>
      </c>
      <c r="F787">
        <v>40</v>
      </c>
      <c r="G787">
        <v>280</v>
      </c>
      <c r="H787">
        <v>7.0000000000000007E-2</v>
      </c>
      <c r="I787">
        <v>19.600000000000001</v>
      </c>
      <c r="J787" t="s">
        <v>21</v>
      </c>
    </row>
    <row r="788" spans="1:10" x14ac:dyDescent="0.45">
      <c r="A788" t="s">
        <v>849</v>
      </c>
      <c r="B788" t="s">
        <v>182</v>
      </c>
      <c r="C788" t="s">
        <v>20</v>
      </c>
      <c r="D788" t="s">
        <v>28</v>
      </c>
      <c r="E788">
        <v>3</v>
      </c>
      <c r="F788">
        <v>230</v>
      </c>
      <c r="G788">
        <v>690</v>
      </c>
      <c r="H788">
        <v>0.01</v>
      </c>
      <c r="I788">
        <v>6.9</v>
      </c>
      <c r="J788" t="s">
        <v>38</v>
      </c>
    </row>
    <row r="789" spans="1:10" x14ac:dyDescent="0.45">
      <c r="A789" t="s">
        <v>850</v>
      </c>
      <c r="B789" t="s">
        <v>182</v>
      </c>
      <c r="C789" t="s">
        <v>16</v>
      </c>
      <c r="D789" t="s">
        <v>25</v>
      </c>
      <c r="E789">
        <v>12</v>
      </c>
      <c r="F789">
        <v>40</v>
      </c>
      <c r="G789">
        <v>480</v>
      </c>
      <c r="H789">
        <v>0.02</v>
      </c>
      <c r="I789">
        <v>9.6</v>
      </c>
      <c r="J789" t="s">
        <v>21</v>
      </c>
    </row>
    <row r="790" spans="1:10" x14ac:dyDescent="0.45">
      <c r="A790" t="s">
        <v>851</v>
      </c>
      <c r="B790" t="s">
        <v>182</v>
      </c>
      <c r="C790" t="s">
        <v>35</v>
      </c>
      <c r="D790" t="s">
        <v>25</v>
      </c>
      <c r="E790">
        <v>11</v>
      </c>
      <c r="F790">
        <v>150</v>
      </c>
      <c r="G790">
        <v>1650</v>
      </c>
      <c r="H790">
        <v>0.11</v>
      </c>
      <c r="I790">
        <v>181.5</v>
      </c>
      <c r="J790" t="s">
        <v>38</v>
      </c>
    </row>
    <row r="791" spans="1:10" x14ac:dyDescent="0.45">
      <c r="A791" t="s">
        <v>852</v>
      </c>
      <c r="B791" t="s">
        <v>182</v>
      </c>
      <c r="C791" t="s">
        <v>16</v>
      </c>
      <c r="D791" t="s">
        <v>17</v>
      </c>
      <c r="E791">
        <v>21</v>
      </c>
      <c r="F791">
        <v>40</v>
      </c>
      <c r="G791">
        <v>840</v>
      </c>
      <c r="H791">
        <v>0.03</v>
      </c>
      <c r="I791">
        <v>25.2</v>
      </c>
      <c r="J791" t="s">
        <v>21</v>
      </c>
    </row>
    <row r="792" spans="1:10" x14ac:dyDescent="0.45">
      <c r="A792" t="s">
        <v>853</v>
      </c>
      <c r="B792" t="s">
        <v>182</v>
      </c>
      <c r="C792" t="s">
        <v>35</v>
      </c>
      <c r="D792" t="s">
        <v>13</v>
      </c>
      <c r="E792">
        <v>22</v>
      </c>
      <c r="F792">
        <v>150</v>
      </c>
      <c r="G792">
        <v>3300</v>
      </c>
      <c r="H792">
        <v>7.0000000000000007E-2</v>
      </c>
      <c r="I792">
        <v>231.00000000000003</v>
      </c>
      <c r="J792" t="s">
        <v>38</v>
      </c>
    </row>
    <row r="793" spans="1:10" x14ac:dyDescent="0.45">
      <c r="A793" t="s">
        <v>854</v>
      </c>
      <c r="B793" t="s">
        <v>182</v>
      </c>
      <c r="C793" t="s">
        <v>16</v>
      </c>
      <c r="D793" t="s">
        <v>25</v>
      </c>
      <c r="E793">
        <v>20</v>
      </c>
      <c r="F793">
        <v>40</v>
      </c>
      <c r="G793">
        <v>800</v>
      </c>
      <c r="H793">
        <v>0.01</v>
      </c>
      <c r="I793">
        <v>8</v>
      </c>
      <c r="J793" t="s">
        <v>21</v>
      </c>
    </row>
    <row r="794" spans="1:10" x14ac:dyDescent="0.45">
      <c r="A794" t="s">
        <v>855</v>
      </c>
      <c r="B794" t="s">
        <v>194</v>
      </c>
      <c r="C794" t="s">
        <v>31</v>
      </c>
      <c r="D794" t="s">
        <v>32</v>
      </c>
      <c r="E794">
        <v>22</v>
      </c>
      <c r="F794">
        <v>16</v>
      </c>
      <c r="G794">
        <v>352</v>
      </c>
      <c r="H794">
        <v>0.12</v>
      </c>
      <c r="I794">
        <v>42.239999999999995</v>
      </c>
      <c r="J794" t="s">
        <v>38</v>
      </c>
    </row>
    <row r="795" spans="1:10" x14ac:dyDescent="0.45">
      <c r="A795" t="s">
        <v>856</v>
      </c>
      <c r="B795" t="s">
        <v>194</v>
      </c>
      <c r="C795" t="s">
        <v>16</v>
      </c>
      <c r="D795" t="s">
        <v>25</v>
      </c>
      <c r="E795">
        <v>4</v>
      </c>
      <c r="F795">
        <v>40</v>
      </c>
      <c r="G795">
        <v>160</v>
      </c>
      <c r="H795">
        <v>0.1</v>
      </c>
      <c r="I795">
        <v>16</v>
      </c>
      <c r="J795" t="s">
        <v>21</v>
      </c>
    </row>
    <row r="796" spans="1:10" x14ac:dyDescent="0.45">
      <c r="A796" t="s">
        <v>857</v>
      </c>
      <c r="B796" t="s">
        <v>194</v>
      </c>
      <c r="C796" t="s">
        <v>20</v>
      </c>
      <c r="D796" t="s">
        <v>28</v>
      </c>
      <c r="E796">
        <v>2</v>
      </c>
      <c r="F796">
        <v>230</v>
      </c>
      <c r="G796">
        <v>460</v>
      </c>
      <c r="H796">
        <v>0.09</v>
      </c>
      <c r="I796">
        <v>41.4</v>
      </c>
      <c r="J796" t="s">
        <v>38</v>
      </c>
    </row>
    <row r="797" spans="1:10" x14ac:dyDescent="0.45">
      <c r="A797" t="s">
        <v>858</v>
      </c>
      <c r="B797" t="s">
        <v>194</v>
      </c>
      <c r="C797" t="s">
        <v>16</v>
      </c>
      <c r="D797" t="s">
        <v>13</v>
      </c>
      <c r="E797">
        <v>22</v>
      </c>
      <c r="F797">
        <v>40</v>
      </c>
      <c r="G797">
        <v>880</v>
      </c>
      <c r="H797">
        <v>0.02</v>
      </c>
      <c r="I797">
        <v>17.600000000000001</v>
      </c>
      <c r="J797" t="s">
        <v>21</v>
      </c>
    </row>
    <row r="798" spans="1:10" x14ac:dyDescent="0.45">
      <c r="A798" t="s">
        <v>859</v>
      </c>
      <c r="B798" t="s">
        <v>194</v>
      </c>
      <c r="C798" t="s">
        <v>16</v>
      </c>
      <c r="D798" t="s">
        <v>17</v>
      </c>
      <c r="E798">
        <v>4</v>
      </c>
      <c r="F798">
        <v>40</v>
      </c>
      <c r="G798">
        <v>160</v>
      </c>
      <c r="H798">
        <v>0.03</v>
      </c>
      <c r="I798">
        <v>4.8</v>
      </c>
      <c r="J798" t="s">
        <v>38</v>
      </c>
    </row>
    <row r="799" spans="1:10" x14ac:dyDescent="0.45">
      <c r="A799" t="s">
        <v>860</v>
      </c>
      <c r="B799" t="s">
        <v>194</v>
      </c>
      <c r="C799" t="s">
        <v>31</v>
      </c>
      <c r="D799" t="s">
        <v>17</v>
      </c>
      <c r="E799">
        <v>5</v>
      </c>
      <c r="F799">
        <v>16</v>
      </c>
      <c r="G799">
        <v>80</v>
      </c>
      <c r="H799">
        <v>0.11</v>
      </c>
      <c r="I799">
        <v>8.8000000000000007</v>
      </c>
      <c r="J799" t="s">
        <v>21</v>
      </c>
    </row>
    <row r="800" spans="1:10" x14ac:dyDescent="0.45">
      <c r="A800" t="s">
        <v>861</v>
      </c>
      <c r="B800" t="s">
        <v>194</v>
      </c>
      <c r="C800" t="s">
        <v>12</v>
      </c>
      <c r="D800" t="s">
        <v>28</v>
      </c>
      <c r="E800">
        <v>2</v>
      </c>
      <c r="F800">
        <v>80</v>
      </c>
      <c r="G800">
        <v>160</v>
      </c>
      <c r="H800">
        <v>0.08</v>
      </c>
      <c r="I800">
        <v>12.8</v>
      </c>
      <c r="J800" t="s">
        <v>38</v>
      </c>
    </row>
    <row r="801" spans="1:10" x14ac:dyDescent="0.45">
      <c r="A801" t="s">
        <v>862</v>
      </c>
      <c r="B801" t="s">
        <v>194</v>
      </c>
      <c r="C801" t="s">
        <v>31</v>
      </c>
      <c r="D801" t="s">
        <v>25</v>
      </c>
      <c r="E801">
        <v>9</v>
      </c>
      <c r="F801">
        <v>16</v>
      </c>
      <c r="G801">
        <v>144</v>
      </c>
      <c r="H801">
        <v>0.05</v>
      </c>
      <c r="I801">
        <v>7.2</v>
      </c>
      <c r="J801" t="s">
        <v>21</v>
      </c>
    </row>
    <row r="802" spans="1:10" x14ac:dyDescent="0.45">
      <c r="A802" t="s">
        <v>863</v>
      </c>
      <c r="B802" t="s">
        <v>194</v>
      </c>
      <c r="C802" t="s">
        <v>20</v>
      </c>
      <c r="D802" t="s">
        <v>25</v>
      </c>
      <c r="E802">
        <v>6</v>
      </c>
      <c r="F802">
        <v>230</v>
      </c>
      <c r="G802">
        <v>1380</v>
      </c>
      <c r="H802">
        <v>0.05</v>
      </c>
      <c r="I802">
        <v>69</v>
      </c>
      <c r="J802" t="s">
        <v>38</v>
      </c>
    </row>
    <row r="803" spans="1:10" x14ac:dyDescent="0.45">
      <c r="A803" t="s">
        <v>864</v>
      </c>
      <c r="B803" t="s">
        <v>194</v>
      </c>
      <c r="C803" t="s">
        <v>35</v>
      </c>
      <c r="D803" t="s">
        <v>28</v>
      </c>
      <c r="E803">
        <v>22</v>
      </c>
      <c r="F803">
        <v>150</v>
      </c>
      <c r="G803">
        <v>3300</v>
      </c>
      <c r="H803">
        <v>0.05</v>
      </c>
      <c r="I803">
        <v>165</v>
      </c>
      <c r="J803" t="s">
        <v>21</v>
      </c>
    </row>
    <row r="804" spans="1:10" x14ac:dyDescent="0.45">
      <c r="A804" t="s">
        <v>865</v>
      </c>
      <c r="B804" t="s">
        <v>210</v>
      </c>
      <c r="C804" t="s">
        <v>20</v>
      </c>
      <c r="D804" t="s">
        <v>28</v>
      </c>
      <c r="E804">
        <v>8</v>
      </c>
      <c r="F804">
        <v>230</v>
      </c>
      <c r="G804">
        <v>1840</v>
      </c>
      <c r="H804">
        <v>0.01</v>
      </c>
      <c r="I804">
        <v>18.400000000000002</v>
      </c>
      <c r="J804" t="s">
        <v>38</v>
      </c>
    </row>
    <row r="805" spans="1:10" x14ac:dyDescent="0.45">
      <c r="A805" t="s">
        <v>866</v>
      </c>
      <c r="B805" t="s">
        <v>210</v>
      </c>
      <c r="C805" t="s">
        <v>35</v>
      </c>
      <c r="D805" t="s">
        <v>13</v>
      </c>
      <c r="E805">
        <v>22</v>
      </c>
      <c r="F805">
        <v>150</v>
      </c>
      <c r="G805">
        <v>3300</v>
      </c>
      <c r="H805">
        <v>0.05</v>
      </c>
      <c r="I805">
        <v>165</v>
      </c>
      <c r="J805" t="s">
        <v>21</v>
      </c>
    </row>
    <row r="806" spans="1:10" x14ac:dyDescent="0.45">
      <c r="A806" t="s">
        <v>867</v>
      </c>
      <c r="B806" t="s">
        <v>210</v>
      </c>
      <c r="C806" t="s">
        <v>16</v>
      </c>
      <c r="D806" t="s">
        <v>13</v>
      </c>
      <c r="E806">
        <v>5</v>
      </c>
      <c r="F806">
        <v>40</v>
      </c>
      <c r="G806">
        <v>200</v>
      </c>
      <c r="H806">
        <v>0.06</v>
      </c>
      <c r="I806">
        <v>12</v>
      </c>
      <c r="J806" t="s">
        <v>38</v>
      </c>
    </row>
    <row r="807" spans="1:10" x14ac:dyDescent="0.45">
      <c r="A807" t="s">
        <v>868</v>
      </c>
      <c r="B807" t="s">
        <v>210</v>
      </c>
      <c r="C807" t="s">
        <v>35</v>
      </c>
      <c r="D807" t="s">
        <v>28</v>
      </c>
      <c r="E807">
        <v>20</v>
      </c>
      <c r="F807">
        <v>150</v>
      </c>
      <c r="G807">
        <v>3000</v>
      </c>
      <c r="H807">
        <v>0.1</v>
      </c>
      <c r="I807">
        <v>300</v>
      </c>
      <c r="J807" t="s">
        <v>21</v>
      </c>
    </row>
    <row r="808" spans="1:10" x14ac:dyDescent="0.45">
      <c r="A808" t="s">
        <v>869</v>
      </c>
      <c r="B808" t="s">
        <v>210</v>
      </c>
      <c r="C808" t="s">
        <v>12</v>
      </c>
      <c r="D808" t="s">
        <v>28</v>
      </c>
      <c r="E808">
        <v>22</v>
      </c>
      <c r="F808">
        <v>80</v>
      </c>
      <c r="G808">
        <v>1760</v>
      </c>
      <c r="H808">
        <v>0.03</v>
      </c>
      <c r="I808">
        <v>52.8</v>
      </c>
      <c r="J808" t="s">
        <v>38</v>
      </c>
    </row>
    <row r="809" spans="1:10" x14ac:dyDescent="0.45">
      <c r="A809" t="s">
        <v>870</v>
      </c>
      <c r="B809" t="s">
        <v>210</v>
      </c>
      <c r="C809" t="s">
        <v>31</v>
      </c>
      <c r="D809" t="s">
        <v>13</v>
      </c>
      <c r="E809">
        <v>11</v>
      </c>
      <c r="F809">
        <v>16</v>
      </c>
      <c r="G809">
        <v>176</v>
      </c>
      <c r="H809">
        <v>0.09</v>
      </c>
      <c r="I809">
        <v>15.84</v>
      </c>
      <c r="J809" t="s">
        <v>21</v>
      </c>
    </row>
    <row r="810" spans="1:10" x14ac:dyDescent="0.45">
      <c r="A810" t="s">
        <v>871</v>
      </c>
      <c r="B810" t="s">
        <v>210</v>
      </c>
      <c r="C810" t="s">
        <v>31</v>
      </c>
      <c r="D810" t="s">
        <v>17</v>
      </c>
      <c r="E810">
        <v>22</v>
      </c>
      <c r="F810">
        <v>16</v>
      </c>
      <c r="G810">
        <v>352</v>
      </c>
      <c r="H810">
        <v>0.01</v>
      </c>
      <c r="I810">
        <v>3.52</v>
      </c>
      <c r="J810" t="s">
        <v>38</v>
      </c>
    </row>
    <row r="811" spans="1:10" x14ac:dyDescent="0.45">
      <c r="A811" t="s">
        <v>872</v>
      </c>
      <c r="B811" t="s">
        <v>210</v>
      </c>
      <c r="C811" t="s">
        <v>16</v>
      </c>
      <c r="D811" t="s">
        <v>17</v>
      </c>
      <c r="E811">
        <v>23</v>
      </c>
      <c r="F811">
        <v>40</v>
      </c>
      <c r="G811">
        <v>920</v>
      </c>
      <c r="H811">
        <v>0.06</v>
      </c>
      <c r="I811">
        <v>55.199999999999996</v>
      </c>
      <c r="J811" t="s">
        <v>21</v>
      </c>
    </row>
    <row r="812" spans="1:10" x14ac:dyDescent="0.45">
      <c r="A812" t="s">
        <v>873</v>
      </c>
      <c r="B812" t="s">
        <v>210</v>
      </c>
      <c r="C812" t="s">
        <v>12</v>
      </c>
      <c r="D812" t="s">
        <v>25</v>
      </c>
      <c r="E812">
        <v>14</v>
      </c>
      <c r="F812">
        <v>80</v>
      </c>
      <c r="G812">
        <v>1120</v>
      </c>
      <c r="H812">
        <v>0.1</v>
      </c>
      <c r="I812">
        <v>112</v>
      </c>
      <c r="J812" t="s">
        <v>38</v>
      </c>
    </row>
    <row r="813" spans="1:10" x14ac:dyDescent="0.45">
      <c r="A813" t="s">
        <v>874</v>
      </c>
      <c r="B813" t="s">
        <v>210</v>
      </c>
      <c r="C813" t="s">
        <v>16</v>
      </c>
      <c r="D813" t="s">
        <v>13</v>
      </c>
      <c r="E813">
        <v>18</v>
      </c>
      <c r="F813">
        <v>40</v>
      </c>
      <c r="G813">
        <v>720</v>
      </c>
      <c r="H813">
        <v>0.06</v>
      </c>
      <c r="I813">
        <v>43.199999999999996</v>
      </c>
      <c r="J813" t="s">
        <v>21</v>
      </c>
    </row>
    <row r="814" spans="1:10" x14ac:dyDescent="0.45">
      <c r="A814" t="s">
        <v>875</v>
      </c>
      <c r="B814" t="s">
        <v>222</v>
      </c>
      <c r="C814" t="s">
        <v>35</v>
      </c>
      <c r="D814" t="s">
        <v>28</v>
      </c>
      <c r="E814">
        <v>7</v>
      </c>
      <c r="F814">
        <v>150</v>
      </c>
      <c r="G814">
        <v>1050</v>
      </c>
      <c r="H814">
        <v>0.05</v>
      </c>
      <c r="I814">
        <v>52.5</v>
      </c>
      <c r="J814" t="s">
        <v>18</v>
      </c>
    </row>
    <row r="815" spans="1:10" x14ac:dyDescent="0.45">
      <c r="A815" t="s">
        <v>876</v>
      </c>
      <c r="B815" t="s">
        <v>222</v>
      </c>
      <c r="C815" t="s">
        <v>16</v>
      </c>
      <c r="D815" t="s">
        <v>28</v>
      </c>
      <c r="E815">
        <v>15</v>
      </c>
      <c r="F815">
        <v>40</v>
      </c>
      <c r="G815">
        <v>600</v>
      </c>
      <c r="H815">
        <v>0.03</v>
      </c>
      <c r="I815">
        <v>18</v>
      </c>
      <c r="J815" t="s">
        <v>21</v>
      </c>
    </row>
    <row r="816" spans="1:10" x14ac:dyDescent="0.45">
      <c r="A816" t="s">
        <v>877</v>
      </c>
      <c r="B816" t="s">
        <v>222</v>
      </c>
      <c r="C816" t="s">
        <v>31</v>
      </c>
      <c r="D816" t="s">
        <v>13</v>
      </c>
      <c r="E816">
        <v>7</v>
      </c>
      <c r="F816">
        <v>16</v>
      </c>
      <c r="G816">
        <v>112</v>
      </c>
      <c r="H816">
        <v>0.02</v>
      </c>
      <c r="I816">
        <v>2.2400000000000002</v>
      </c>
      <c r="J816" t="s">
        <v>23</v>
      </c>
    </row>
    <row r="817" spans="1:10" x14ac:dyDescent="0.45">
      <c r="A817" t="s">
        <v>878</v>
      </c>
      <c r="B817" t="s">
        <v>222</v>
      </c>
      <c r="C817" t="s">
        <v>31</v>
      </c>
      <c r="D817" t="s">
        <v>28</v>
      </c>
      <c r="E817">
        <v>15</v>
      </c>
      <c r="F817">
        <v>16</v>
      </c>
      <c r="G817">
        <v>240</v>
      </c>
      <c r="H817">
        <v>0.12</v>
      </c>
      <c r="I817">
        <v>28.799999999999997</v>
      </c>
      <c r="J817" t="s">
        <v>26</v>
      </c>
    </row>
    <row r="818" spans="1:10" x14ac:dyDescent="0.45">
      <c r="A818" t="s">
        <v>879</v>
      </c>
      <c r="B818" t="s">
        <v>222</v>
      </c>
      <c r="C818" t="s">
        <v>16</v>
      </c>
      <c r="D818" t="s">
        <v>13</v>
      </c>
      <c r="E818">
        <v>5</v>
      </c>
      <c r="F818">
        <v>40</v>
      </c>
      <c r="G818">
        <v>200</v>
      </c>
      <c r="H818">
        <v>0.09</v>
      </c>
      <c r="I818">
        <v>18</v>
      </c>
      <c r="J818" t="s">
        <v>29</v>
      </c>
    </row>
    <row r="819" spans="1:10" x14ac:dyDescent="0.45">
      <c r="A819" t="s">
        <v>880</v>
      </c>
      <c r="B819" t="s">
        <v>222</v>
      </c>
      <c r="C819" t="s">
        <v>16</v>
      </c>
      <c r="D819" t="s">
        <v>32</v>
      </c>
      <c r="E819">
        <v>20</v>
      </c>
      <c r="F819">
        <v>40</v>
      </c>
      <c r="G819">
        <v>800</v>
      </c>
      <c r="H819">
        <v>0.03</v>
      </c>
      <c r="I819">
        <v>24</v>
      </c>
      <c r="J819" t="s">
        <v>33</v>
      </c>
    </row>
    <row r="820" spans="1:10" x14ac:dyDescent="0.45">
      <c r="A820" t="s">
        <v>881</v>
      </c>
      <c r="B820" t="s">
        <v>222</v>
      </c>
      <c r="C820" t="s">
        <v>20</v>
      </c>
      <c r="D820" t="s">
        <v>28</v>
      </c>
      <c r="E820">
        <v>11</v>
      </c>
      <c r="F820">
        <v>230</v>
      </c>
      <c r="G820">
        <v>2530</v>
      </c>
      <c r="H820">
        <v>0.12</v>
      </c>
      <c r="I820">
        <v>303.59999999999997</v>
      </c>
      <c r="J820" t="s">
        <v>36</v>
      </c>
    </row>
    <row r="821" spans="1:10" x14ac:dyDescent="0.45">
      <c r="A821" t="s">
        <v>882</v>
      </c>
      <c r="B821" t="s">
        <v>222</v>
      </c>
      <c r="C821" t="s">
        <v>31</v>
      </c>
      <c r="D821" t="s">
        <v>32</v>
      </c>
      <c r="E821">
        <v>17</v>
      </c>
      <c r="F821">
        <v>16</v>
      </c>
      <c r="G821">
        <v>272</v>
      </c>
      <c r="H821">
        <v>0.08</v>
      </c>
      <c r="I821">
        <v>21.76</v>
      </c>
      <c r="J821" t="s">
        <v>38</v>
      </c>
    </row>
    <row r="822" spans="1:10" x14ac:dyDescent="0.45">
      <c r="A822" t="s">
        <v>883</v>
      </c>
      <c r="B822" t="s">
        <v>236</v>
      </c>
      <c r="C822" t="s">
        <v>31</v>
      </c>
      <c r="D822" t="s">
        <v>13</v>
      </c>
      <c r="E822">
        <v>18</v>
      </c>
      <c r="F822">
        <v>16</v>
      </c>
      <c r="G822">
        <v>288</v>
      </c>
      <c r="H822">
        <v>0.11</v>
      </c>
      <c r="I822">
        <v>31.68</v>
      </c>
      <c r="J822" t="s">
        <v>40</v>
      </c>
    </row>
    <row r="823" spans="1:10" x14ac:dyDescent="0.45">
      <c r="A823" t="s">
        <v>884</v>
      </c>
      <c r="B823" t="s">
        <v>236</v>
      </c>
      <c r="C823" t="s">
        <v>20</v>
      </c>
      <c r="D823" t="s">
        <v>28</v>
      </c>
      <c r="E823">
        <v>2</v>
      </c>
      <c r="F823">
        <v>230</v>
      </c>
      <c r="G823">
        <v>460</v>
      </c>
      <c r="H823">
        <v>0.08</v>
      </c>
      <c r="I823">
        <v>36.800000000000004</v>
      </c>
      <c r="J823" t="s">
        <v>42</v>
      </c>
    </row>
    <row r="824" spans="1:10" x14ac:dyDescent="0.45">
      <c r="A824" t="s">
        <v>885</v>
      </c>
      <c r="B824" t="s">
        <v>236</v>
      </c>
      <c r="C824" t="s">
        <v>31</v>
      </c>
      <c r="D824" t="s">
        <v>25</v>
      </c>
      <c r="E824">
        <v>17</v>
      </c>
      <c r="F824">
        <v>16</v>
      </c>
      <c r="G824">
        <v>272</v>
      </c>
      <c r="H824">
        <v>0.05</v>
      </c>
      <c r="I824">
        <v>13.600000000000001</v>
      </c>
      <c r="J824" t="s">
        <v>45</v>
      </c>
    </row>
    <row r="825" spans="1:10" x14ac:dyDescent="0.45">
      <c r="A825" t="s">
        <v>886</v>
      </c>
      <c r="B825" t="s">
        <v>236</v>
      </c>
      <c r="C825" t="s">
        <v>12</v>
      </c>
      <c r="D825" t="s">
        <v>28</v>
      </c>
      <c r="E825">
        <v>16</v>
      </c>
      <c r="F825">
        <v>80</v>
      </c>
      <c r="G825">
        <v>1280</v>
      </c>
      <c r="H825">
        <v>0.05</v>
      </c>
      <c r="I825">
        <v>64</v>
      </c>
      <c r="J825" t="s">
        <v>14</v>
      </c>
    </row>
    <row r="826" spans="1:10" x14ac:dyDescent="0.45">
      <c r="A826" t="s">
        <v>887</v>
      </c>
      <c r="B826" t="s">
        <v>236</v>
      </c>
      <c r="C826" t="s">
        <v>20</v>
      </c>
      <c r="D826" t="s">
        <v>17</v>
      </c>
      <c r="E826">
        <v>14</v>
      </c>
      <c r="F826">
        <v>230</v>
      </c>
      <c r="G826">
        <v>3220</v>
      </c>
      <c r="H826">
        <v>0.05</v>
      </c>
      <c r="I826">
        <v>161</v>
      </c>
      <c r="J826" t="s">
        <v>18</v>
      </c>
    </row>
    <row r="827" spans="1:10" x14ac:dyDescent="0.45">
      <c r="A827" t="s">
        <v>888</v>
      </c>
      <c r="B827" t="s">
        <v>236</v>
      </c>
      <c r="C827" t="s">
        <v>16</v>
      </c>
      <c r="D827" t="s">
        <v>25</v>
      </c>
      <c r="E827">
        <v>13</v>
      </c>
      <c r="F827">
        <v>40</v>
      </c>
      <c r="G827">
        <v>520</v>
      </c>
      <c r="H827">
        <v>0.02</v>
      </c>
      <c r="I827">
        <v>10.4</v>
      </c>
      <c r="J827" t="s">
        <v>21</v>
      </c>
    </row>
    <row r="828" spans="1:10" x14ac:dyDescent="0.45">
      <c r="A828" t="s">
        <v>889</v>
      </c>
      <c r="B828" t="s">
        <v>236</v>
      </c>
      <c r="C828" t="s">
        <v>20</v>
      </c>
      <c r="D828" t="s">
        <v>17</v>
      </c>
      <c r="E828">
        <v>7</v>
      </c>
      <c r="F828">
        <v>230</v>
      </c>
      <c r="G828">
        <v>1610</v>
      </c>
      <c r="H828">
        <v>0.08</v>
      </c>
      <c r="I828">
        <v>128.80000000000001</v>
      </c>
      <c r="J828" t="s">
        <v>23</v>
      </c>
    </row>
    <row r="829" spans="1:10" x14ac:dyDescent="0.45">
      <c r="A829" t="s">
        <v>890</v>
      </c>
      <c r="B829" t="s">
        <v>236</v>
      </c>
      <c r="C829" t="s">
        <v>16</v>
      </c>
      <c r="D829" t="s">
        <v>28</v>
      </c>
      <c r="E829">
        <v>7</v>
      </c>
      <c r="F829">
        <v>40</v>
      </c>
      <c r="G829">
        <v>280</v>
      </c>
      <c r="H829">
        <v>0.11</v>
      </c>
      <c r="I829">
        <v>30.8</v>
      </c>
      <c r="J829" t="s">
        <v>26</v>
      </c>
    </row>
    <row r="830" spans="1:10" x14ac:dyDescent="0.45">
      <c r="A830" t="s">
        <v>891</v>
      </c>
      <c r="B830" t="s">
        <v>236</v>
      </c>
      <c r="C830" t="s">
        <v>20</v>
      </c>
      <c r="D830" t="s">
        <v>25</v>
      </c>
      <c r="E830">
        <v>12</v>
      </c>
      <c r="F830">
        <v>230</v>
      </c>
      <c r="G830">
        <v>2760</v>
      </c>
      <c r="H830">
        <v>0.06</v>
      </c>
      <c r="I830">
        <v>165.6</v>
      </c>
      <c r="J830" t="s">
        <v>29</v>
      </c>
    </row>
    <row r="831" spans="1:10" x14ac:dyDescent="0.45">
      <c r="A831" t="s">
        <v>892</v>
      </c>
      <c r="B831" t="s">
        <v>236</v>
      </c>
      <c r="C831" t="s">
        <v>16</v>
      </c>
      <c r="D831" t="s">
        <v>13</v>
      </c>
      <c r="E831">
        <v>19</v>
      </c>
      <c r="F831">
        <v>40</v>
      </c>
      <c r="G831">
        <v>760</v>
      </c>
      <c r="H831">
        <v>0.04</v>
      </c>
      <c r="I831">
        <v>30.400000000000002</v>
      </c>
      <c r="J831" t="s">
        <v>18</v>
      </c>
    </row>
    <row r="832" spans="1:10" x14ac:dyDescent="0.45">
      <c r="A832" t="s">
        <v>893</v>
      </c>
      <c r="B832" t="s">
        <v>247</v>
      </c>
      <c r="C832" t="s">
        <v>20</v>
      </c>
      <c r="D832" t="s">
        <v>25</v>
      </c>
      <c r="E832">
        <v>20</v>
      </c>
      <c r="F832">
        <v>230</v>
      </c>
      <c r="G832">
        <v>4600</v>
      </c>
      <c r="H832">
        <v>0.06</v>
      </c>
      <c r="I832">
        <v>276</v>
      </c>
      <c r="J832" t="s">
        <v>21</v>
      </c>
    </row>
    <row r="833" spans="1:10" x14ac:dyDescent="0.45">
      <c r="A833" t="s">
        <v>894</v>
      </c>
      <c r="B833" t="s">
        <v>247</v>
      </c>
      <c r="C833" t="s">
        <v>16</v>
      </c>
      <c r="D833" t="s">
        <v>32</v>
      </c>
      <c r="E833">
        <v>23</v>
      </c>
      <c r="F833">
        <v>40</v>
      </c>
      <c r="G833">
        <v>920</v>
      </c>
      <c r="H833">
        <v>0.04</v>
      </c>
      <c r="I833">
        <v>36.800000000000004</v>
      </c>
      <c r="J833" t="s">
        <v>23</v>
      </c>
    </row>
    <row r="834" spans="1:10" x14ac:dyDescent="0.45">
      <c r="A834" t="s">
        <v>895</v>
      </c>
      <c r="B834" t="s">
        <v>247</v>
      </c>
      <c r="C834" t="s">
        <v>12</v>
      </c>
      <c r="D834" t="s">
        <v>32</v>
      </c>
      <c r="E834">
        <v>16</v>
      </c>
      <c r="F834">
        <v>80</v>
      </c>
      <c r="G834">
        <v>1280</v>
      </c>
      <c r="H834">
        <v>0.05</v>
      </c>
      <c r="I834">
        <v>64</v>
      </c>
      <c r="J834" t="s">
        <v>26</v>
      </c>
    </row>
    <row r="835" spans="1:10" x14ac:dyDescent="0.45">
      <c r="A835" t="s">
        <v>896</v>
      </c>
      <c r="B835" t="s">
        <v>247</v>
      </c>
      <c r="C835" t="s">
        <v>35</v>
      </c>
      <c r="D835" t="s">
        <v>17</v>
      </c>
      <c r="E835">
        <v>23</v>
      </c>
      <c r="F835">
        <v>150</v>
      </c>
      <c r="G835">
        <v>3450</v>
      </c>
      <c r="H835">
        <v>0.11</v>
      </c>
      <c r="I835">
        <v>379.5</v>
      </c>
      <c r="J835" t="s">
        <v>29</v>
      </c>
    </row>
    <row r="836" spans="1:10" x14ac:dyDescent="0.45">
      <c r="A836" t="s">
        <v>897</v>
      </c>
      <c r="B836" t="s">
        <v>247</v>
      </c>
      <c r="C836" t="s">
        <v>31</v>
      </c>
      <c r="D836" t="s">
        <v>17</v>
      </c>
      <c r="E836">
        <v>4</v>
      </c>
      <c r="F836">
        <v>16</v>
      </c>
      <c r="G836">
        <v>64</v>
      </c>
      <c r="H836">
        <v>7.0000000000000007E-2</v>
      </c>
      <c r="I836">
        <v>4.4800000000000004</v>
      </c>
      <c r="J836" t="s">
        <v>33</v>
      </c>
    </row>
    <row r="837" spans="1:10" x14ac:dyDescent="0.45">
      <c r="A837" t="s">
        <v>898</v>
      </c>
      <c r="B837" t="s">
        <v>247</v>
      </c>
      <c r="C837" t="s">
        <v>20</v>
      </c>
      <c r="D837" t="s">
        <v>13</v>
      </c>
      <c r="E837">
        <v>8</v>
      </c>
      <c r="F837">
        <v>230</v>
      </c>
      <c r="G837">
        <v>1840</v>
      </c>
      <c r="H837">
        <v>0.03</v>
      </c>
      <c r="I837">
        <v>55.199999999999996</v>
      </c>
      <c r="J837" t="s">
        <v>36</v>
      </c>
    </row>
    <row r="838" spans="1:10" x14ac:dyDescent="0.45">
      <c r="A838" t="s">
        <v>899</v>
      </c>
      <c r="B838" t="s">
        <v>247</v>
      </c>
      <c r="C838" t="s">
        <v>12</v>
      </c>
      <c r="D838" t="s">
        <v>17</v>
      </c>
      <c r="E838">
        <v>17</v>
      </c>
      <c r="F838">
        <v>80</v>
      </c>
      <c r="G838">
        <v>1360</v>
      </c>
      <c r="H838">
        <v>0.03</v>
      </c>
      <c r="I838">
        <v>40.799999999999997</v>
      </c>
      <c r="J838" t="s">
        <v>38</v>
      </c>
    </row>
    <row r="839" spans="1:10" x14ac:dyDescent="0.45">
      <c r="A839" t="s">
        <v>900</v>
      </c>
      <c r="B839" t="s">
        <v>247</v>
      </c>
      <c r="C839" t="s">
        <v>12</v>
      </c>
      <c r="D839" t="s">
        <v>28</v>
      </c>
      <c r="E839">
        <v>10</v>
      </c>
      <c r="F839">
        <v>80</v>
      </c>
      <c r="G839">
        <v>800</v>
      </c>
      <c r="H839">
        <v>0.1</v>
      </c>
      <c r="I839">
        <v>80</v>
      </c>
      <c r="J839" t="s">
        <v>40</v>
      </c>
    </row>
    <row r="840" spans="1:10" x14ac:dyDescent="0.45">
      <c r="A840" t="s">
        <v>901</v>
      </c>
      <c r="B840" t="s">
        <v>247</v>
      </c>
      <c r="C840" t="s">
        <v>31</v>
      </c>
      <c r="D840" t="s">
        <v>13</v>
      </c>
      <c r="E840">
        <v>20</v>
      </c>
      <c r="F840">
        <v>16</v>
      </c>
      <c r="G840">
        <v>320</v>
      </c>
      <c r="H840">
        <v>0.11</v>
      </c>
      <c r="I840">
        <v>35.200000000000003</v>
      </c>
      <c r="J840" t="s">
        <v>42</v>
      </c>
    </row>
    <row r="841" spans="1:10" x14ac:dyDescent="0.45">
      <c r="A841" t="s">
        <v>902</v>
      </c>
      <c r="B841" t="s">
        <v>255</v>
      </c>
      <c r="C841" t="s">
        <v>20</v>
      </c>
      <c r="D841" t="s">
        <v>28</v>
      </c>
      <c r="E841">
        <v>19</v>
      </c>
      <c r="F841">
        <v>230</v>
      </c>
      <c r="G841">
        <v>4370</v>
      </c>
      <c r="H841">
        <v>0.06</v>
      </c>
      <c r="I841">
        <v>262.2</v>
      </c>
      <c r="J841" t="s">
        <v>45</v>
      </c>
    </row>
    <row r="842" spans="1:10" x14ac:dyDescent="0.45">
      <c r="A842" t="s">
        <v>903</v>
      </c>
      <c r="B842" t="s">
        <v>255</v>
      </c>
      <c r="C842" t="s">
        <v>16</v>
      </c>
      <c r="D842" t="s">
        <v>25</v>
      </c>
      <c r="E842">
        <v>18</v>
      </c>
      <c r="F842">
        <v>40</v>
      </c>
      <c r="G842">
        <v>720</v>
      </c>
      <c r="H842">
        <v>0.03</v>
      </c>
      <c r="I842">
        <v>21.599999999999998</v>
      </c>
      <c r="J842" t="s">
        <v>14</v>
      </c>
    </row>
    <row r="843" spans="1:10" x14ac:dyDescent="0.45">
      <c r="A843" t="s">
        <v>904</v>
      </c>
      <c r="B843" t="s">
        <v>255</v>
      </c>
      <c r="C843" t="s">
        <v>12</v>
      </c>
      <c r="D843" t="s">
        <v>17</v>
      </c>
      <c r="E843">
        <v>16</v>
      </c>
      <c r="F843">
        <v>80</v>
      </c>
      <c r="G843">
        <v>1280</v>
      </c>
      <c r="H843">
        <v>0.04</v>
      </c>
      <c r="I843">
        <v>51.2</v>
      </c>
      <c r="J843" t="s">
        <v>18</v>
      </c>
    </row>
    <row r="844" spans="1:10" x14ac:dyDescent="0.45">
      <c r="A844" t="s">
        <v>905</v>
      </c>
      <c r="B844" t="s">
        <v>255</v>
      </c>
      <c r="C844" t="s">
        <v>12</v>
      </c>
      <c r="D844" t="s">
        <v>28</v>
      </c>
      <c r="E844">
        <v>8</v>
      </c>
      <c r="F844">
        <v>80</v>
      </c>
      <c r="G844">
        <v>640</v>
      </c>
      <c r="H844">
        <v>0.06</v>
      </c>
      <c r="I844">
        <v>38.4</v>
      </c>
      <c r="J844" t="s">
        <v>21</v>
      </c>
    </row>
    <row r="845" spans="1:10" x14ac:dyDescent="0.45">
      <c r="A845" t="s">
        <v>906</v>
      </c>
      <c r="B845" t="s">
        <v>255</v>
      </c>
      <c r="C845" t="s">
        <v>35</v>
      </c>
      <c r="D845" t="s">
        <v>28</v>
      </c>
      <c r="E845">
        <v>4</v>
      </c>
      <c r="F845">
        <v>150</v>
      </c>
      <c r="G845">
        <v>600</v>
      </c>
      <c r="H845">
        <v>0.12</v>
      </c>
      <c r="I845">
        <v>72</v>
      </c>
      <c r="J845" t="s">
        <v>23</v>
      </c>
    </row>
    <row r="846" spans="1:10" x14ac:dyDescent="0.45">
      <c r="A846" t="s">
        <v>907</v>
      </c>
      <c r="B846" t="s">
        <v>255</v>
      </c>
      <c r="C846" t="s">
        <v>20</v>
      </c>
      <c r="D846" t="s">
        <v>25</v>
      </c>
      <c r="E846">
        <v>15</v>
      </c>
      <c r="F846">
        <v>230</v>
      </c>
      <c r="G846">
        <v>3450</v>
      </c>
      <c r="H846">
        <v>0.04</v>
      </c>
      <c r="I846">
        <v>138</v>
      </c>
      <c r="J846" t="s">
        <v>26</v>
      </c>
    </row>
    <row r="847" spans="1:10" x14ac:dyDescent="0.45">
      <c r="A847" t="s">
        <v>908</v>
      </c>
      <c r="B847" t="s">
        <v>263</v>
      </c>
      <c r="C847" t="s">
        <v>31</v>
      </c>
      <c r="D847" t="s">
        <v>17</v>
      </c>
      <c r="E847">
        <v>7</v>
      </c>
      <c r="F847">
        <v>16</v>
      </c>
      <c r="G847">
        <v>112</v>
      </c>
      <c r="H847">
        <v>0.08</v>
      </c>
      <c r="I847">
        <v>8.9600000000000009</v>
      </c>
      <c r="J847" t="s">
        <v>29</v>
      </c>
    </row>
    <row r="848" spans="1:10" x14ac:dyDescent="0.45">
      <c r="A848" t="s">
        <v>909</v>
      </c>
      <c r="B848" t="s">
        <v>263</v>
      </c>
      <c r="C848" t="s">
        <v>16</v>
      </c>
      <c r="D848" t="s">
        <v>13</v>
      </c>
      <c r="E848">
        <v>18</v>
      </c>
      <c r="F848">
        <v>40</v>
      </c>
      <c r="G848">
        <v>720</v>
      </c>
      <c r="H848">
        <v>0.11</v>
      </c>
      <c r="I848">
        <v>79.2</v>
      </c>
      <c r="J848" t="s">
        <v>18</v>
      </c>
    </row>
    <row r="849" spans="1:10" x14ac:dyDescent="0.45">
      <c r="A849" t="s">
        <v>910</v>
      </c>
      <c r="B849" t="s">
        <v>263</v>
      </c>
      <c r="C849" t="s">
        <v>16</v>
      </c>
      <c r="D849" t="s">
        <v>25</v>
      </c>
      <c r="E849">
        <v>4</v>
      </c>
      <c r="F849">
        <v>40</v>
      </c>
      <c r="G849">
        <v>160</v>
      </c>
      <c r="H849">
        <v>0.06</v>
      </c>
      <c r="I849">
        <v>9.6</v>
      </c>
      <c r="J849" t="s">
        <v>21</v>
      </c>
    </row>
    <row r="850" spans="1:10" x14ac:dyDescent="0.45">
      <c r="A850" t="s">
        <v>911</v>
      </c>
      <c r="B850" t="s">
        <v>263</v>
      </c>
      <c r="C850" t="s">
        <v>16</v>
      </c>
      <c r="D850" t="s">
        <v>32</v>
      </c>
      <c r="E850">
        <v>16</v>
      </c>
      <c r="F850">
        <v>40</v>
      </c>
      <c r="G850">
        <v>640</v>
      </c>
      <c r="H850">
        <v>0.09</v>
      </c>
      <c r="I850">
        <v>57.599999999999994</v>
      </c>
      <c r="J850" t="s">
        <v>23</v>
      </c>
    </row>
    <row r="851" spans="1:10" x14ac:dyDescent="0.45">
      <c r="A851" t="s">
        <v>912</v>
      </c>
      <c r="B851" t="s">
        <v>263</v>
      </c>
      <c r="C851" t="s">
        <v>16</v>
      </c>
      <c r="D851" t="s">
        <v>17</v>
      </c>
      <c r="E851">
        <v>18</v>
      </c>
      <c r="F851">
        <v>40</v>
      </c>
      <c r="G851">
        <v>720</v>
      </c>
      <c r="H851">
        <v>0.08</v>
      </c>
      <c r="I851">
        <v>57.6</v>
      </c>
      <c r="J851" t="s">
        <v>26</v>
      </c>
    </row>
    <row r="852" spans="1:10" x14ac:dyDescent="0.45">
      <c r="A852" t="s">
        <v>913</v>
      </c>
      <c r="B852" t="s">
        <v>263</v>
      </c>
      <c r="C852" t="s">
        <v>16</v>
      </c>
      <c r="D852" t="s">
        <v>13</v>
      </c>
      <c r="E852">
        <v>9</v>
      </c>
      <c r="F852">
        <v>40</v>
      </c>
      <c r="G852">
        <v>360</v>
      </c>
      <c r="H852">
        <v>0.01</v>
      </c>
      <c r="I852">
        <v>3.6</v>
      </c>
      <c r="J852" t="s">
        <v>29</v>
      </c>
    </row>
    <row r="853" spans="1:10" x14ac:dyDescent="0.45">
      <c r="A853" t="s">
        <v>914</v>
      </c>
      <c r="B853" t="s">
        <v>263</v>
      </c>
      <c r="C853" t="s">
        <v>20</v>
      </c>
      <c r="D853" t="s">
        <v>28</v>
      </c>
      <c r="E853">
        <v>16</v>
      </c>
      <c r="F853">
        <v>230</v>
      </c>
      <c r="G853">
        <v>3680</v>
      </c>
      <c r="H853">
        <v>0.11</v>
      </c>
      <c r="I853">
        <v>404.8</v>
      </c>
      <c r="J853" t="s">
        <v>33</v>
      </c>
    </row>
    <row r="854" spans="1:10" x14ac:dyDescent="0.45">
      <c r="A854" t="s">
        <v>915</v>
      </c>
      <c r="B854" t="s">
        <v>263</v>
      </c>
      <c r="C854" t="s">
        <v>31</v>
      </c>
      <c r="D854" t="s">
        <v>25</v>
      </c>
      <c r="E854">
        <v>12</v>
      </c>
      <c r="F854">
        <v>16</v>
      </c>
      <c r="G854">
        <v>192</v>
      </c>
      <c r="H854">
        <v>0.11</v>
      </c>
      <c r="I854">
        <v>21.12</v>
      </c>
      <c r="J854" t="s">
        <v>36</v>
      </c>
    </row>
    <row r="855" spans="1:10" x14ac:dyDescent="0.45">
      <c r="A855" t="s">
        <v>916</v>
      </c>
      <c r="B855" t="s">
        <v>263</v>
      </c>
      <c r="C855" t="s">
        <v>12</v>
      </c>
      <c r="D855" t="s">
        <v>17</v>
      </c>
      <c r="E855">
        <v>2</v>
      </c>
      <c r="F855">
        <v>80</v>
      </c>
      <c r="G855">
        <v>160</v>
      </c>
      <c r="H855">
        <v>7.0000000000000007E-2</v>
      </c>
      <c r="I855">
        <v>11.200000000000001</v>
      </c>
      <c r="J855" t="s">
        <v>38</v>
      </c>
    </row>
    <row r="856" spans="1:10" x14ac:dyDescent="0.45">
      <c r="A856" t="s">
        <v>917</v>
      </c>
      <c r="B856" t="s">
        <v>263</v>
      </c>
      <c r="C856" t="s">
        <v>16</v>
      </c>
      <c r="D856" t="s">
        <v>13</v>
      </c>
      <c r="E856">
        <v>2</v>
      </c>
      <c r="F856">
        <v>40</v>
      </c>
      <c r="G856">
        <v>80</v>
      </c>
      <c r="H856">
        <v>0.12</v>
      </c>
      <c r="I856">
        <v>9.6</v>
      </c>
      <c r="J856" t="s">
        <v>40</v>
      </c>
    </row>
    <row r="857" spans="1:10" x14ac:dyDescent="0.45">
      <c r="A857" t="s">
        <v>918</v>
      </c>
      <c r="B857" t="s">
        <v>277</v>
      </c>
      <c r="C857" t="s">
        <v>35</v>
      </c>
      <c r="D857" t="s">
        <v>13</v>
      </c>
      <c r="E857">
        <v>13</v>
      </c>
      <c r="F857">
        <v>150</v>
      </c>
      <c r="G857">
        <v>1950</v>
      </c>
      <c r="H857">
        <v>0.05</v>
      </c>
      <c r="I857">
        <v>97.5</v>
      </c>
      <c r="J857" t="s">
        <v>42</v>
      </c>
    </row>
    <row r="858" spans="1:10" x14ac:dyDescent="0.45">
      <c r="A858" t="s">
        <v>919</v>
      </c>
      <c r="B858" t="s">
        <v>277</v>
      </c>
      <c r="C858" t="s">
        <v>12</v>
      </c>
      <c r="D858" t="s">
        <v>13</v>
      </c>
      <c r="E858">
        <v>14</v>
      </c>
      <c r="F858">
        <v>80</v>
      </c>
      <c r="G858">
        <v>1120</v>
      </c>
      <c r="H858">
        <v>0.08</v>
      </c>
      <c r="I858">
        <v>89.600000000000009</v>
      </c>
      <c r="J858" t="s">
        <v>45</v>
      </c>
    </row>
    <row r="859" spans="1:10" x14ac:dyDescent="0.45">
      <c r="A859" t="s">
        <v>920</v>
      </c>
      <c r="B859" t="s">
        <v>277</v>
      </c>
      <c r="C859" t="s">
        <v>35</v>
      </c>
      <c r="D859" t="s">
        <v>28</v>
      </c>
      <c r="E859">
        <v>6</v>
      </c>
      <c r="F859">
        <v>150</v>
      </c>
      <c r="G859">
        <v>900</v>
      </c>
      <c r="H859">
        <v>0.03</v>
      </c>
      <c r="I859">
        <v>27</v>
      </c>
      <c r="J859" t="s">
        <v>14</v>
      </c>
    </row>
    <row r="860" spans="1:10" x14ac:dyDescent="0.45">
      <c r="A860" t="s">
        <v>921</v>
      </c>
      <c r="B860" t="s">
        <v>277</v>
      </c>
      <c r="C860" t="s">
        <v>12</v>
      </c>
      <c r="D860" t="s">
        <v>28</v>
      </c>
      <c r="E860">
        <v>23</v>
      </c>
      <c r="F860">
        <v>80</v>
      </c>
      <c r="G860">
        <v>1840</v>
      </c>
      <c r="H860">
        <v>0.11</v>
      </c>
      <c r="I860">
        <v>202.4</v>
      </c>
      <c r="J860" t="s">
        <v>18</v>
      </c>
    </row>
    <row r="861" spans="1:10" x14ac:dyDescent="0.45">
      <c r="A861" t="s">
        <v>922</v>
      </c>
      <c r="B861" t="s">
        <v>277</v>
      </c>
      <c r="C861" t="s">
        <v>12</v>
      </c>
      <c r="D861" t="s">
        <v>28</v>
      </c>
      <c r="E861">
        <v>21</v>
      </c>
      <c r="F861">
        <v>80</v>
      </c>
      <c r="G861">
        <v>1680</v>
      </c>
      <c r="H861">
        <v>0.05</v>
      </c>
      <c r="I861">
        <v>84</v>
      </c>
      <c r="J861" t="s">
        <v>21</v>
      </c>
    </row>
    <row r="862" spans="1:10" x14ac:dyDescent="0.45">
      <c r="A862" t="s">
        <v>923</v>
      </c>
      <c r="B862" t="s">
        <v>277</v>
      </c>
      <c r="C862" t="s">
        <v>31</v>
      </c>
      <c r="D862" t="s">
        <v>25</v>
      </c>
      <c r="E862">
        <v>3</v>
      </c>
      <c r="F862">
        <v>16</v>
      </c>
      <c r="G862">
        <v>48</v>
      </c>
      <c r="H862">
        <v>0.05</v>
      </c>
      <c r="I862">
        <v>2.4000000000000004</v>
      </c>
      <c r="J862" t="s">
        <v>23</v>
      </c>
    </row>
    <row r="863" spans="1:10" x14ac:dyDescent="0.45">
      <c r="A863" t="s">
        <v>924</v>
      </c>
      <c r="B863" t="s">
        <v>277</v>
      </c>
      <c r="C863" t="s">
        <v>31</v>
      </c>
      <c r="D863" t="s">
        <v>17</v>
      </c>
      <c r="E863">
        <v>21</v>
      </c>
      <c r="F863">
        <v>16</v>
      </c>
      <c r="G863">
        <v>336</v>
      </c>
      <c r="H863">
        <v>0.02</v>
      </c>
      <c r="I863">
        <v>6.72</v>
      </c>
      <c r="J863" t="s">
        <v>26</v>
      </c>
    </row>
    <row r="864" spans="1:10" x14ac:dyDescent="0.45">
      <c r="A864" t="s">
        <v>925</v>
      </c>
      <c r="B864" t="s">
        <v>277</v>
      </c>
      <c r="C864" t="s">
        <v>12</v>
      </c>
      <c r="D864" t="s">
        <v>28</v>
      </c>
      <c r="E864">
        <v>4</v>
      </c>
      <c r="F864">
        <v>80</v>
      </c>
      <c r="G864">
        <v>320</v>
      </c>
      <c r="H864">
        <v>0.11</v>
      </c>
      <c r="I864">
        <v>35.200000000000003</v>
      </c>
      <c r="J864" t="s">
        <v>29</v>
      </c>
    </row>
    <row r="865" spans="1:10" x14ac:dyDescent="0.45">
      <c r="A865" t="s">
        <v>926</v>
      </c>
      <c r="B865" t="s">
        <v>277</v>
      </c>
      <c r="C865" t="s">
        <v>35</v>
      </c>
      <c r="D865" t="s">
        <v>32</v>
      </c>
      <c r="E865">
        <v>23</v>
      </c>
      <c r="F865">
        <v>150</v>
      </c>
      <c r="G865">
        <v>3450</v>
      </c>
      <c r="H865">
        <v>0.08</v>
      </c>
      <c r="I865">
        <v>276</v>
      </c>
      <c r="J865" t="s">
        <v>18</v>
      </c>
    </row>
    <row r="866" spans="1:10" x14ac:dyDescent="0.45">
      <c r="A866" t="s">
        <v>927</v>
      </c>
      <c r="B866" t="s">
        <v>277</v>
      </c>
      <c r="C866" t="s">
        <v>31</v>
      </c>
      <c r="D866" t="s">
        <v>32</v>
      </c>
      <c r="E866">
        <v>23</v>
      </c>
      <c r="F866">
        <v>16</v>
      </c>
      <c r="G866">
        <v>368</v>
      </c>
      <c r="H866">
        <v>0.01</v>
      </c>
      <c r="I866">
        <v>3.68</v>
      </c>
      <c r="J866" t="s">
        <v>21</v>
      </c>
    </row>
    <row r="867" spans="1:10" x14ac:dyDescent="0.45">
      <c r="A867" t="s">
        <v>928</v>
      </c>
      <c r="B867" t="s">
        <v>277</v>
      </c>
      <c r="C867" t="s">
        <v>16</v>
      </c>
      <c r="D867" t="s">
        <v>28</v>
      </c>
      <c r="E867">
        <v>22</v>
      </c>
      <c r="F867">
        <v>40</v>
      </c>
      <c r="G867">
        <v>880</v>
      </c>
      <c r="H867">
        <v>0.01</v>
      </c>
      <c r="I867">
        <v>8.8000000000000007</v>
      </c>
      <c r="J867" t="s">
        <v>23</v>
      </c>
    </row>
    <row r="868" spans="1:10" x14ac:dyDescent="0.45">
      <c r="A868" t="s">
        <v>929</v>
      </c>
      <c r="B868" t="s">
        <v>292</v>
      </c>
      <c r="C868" t="s">
        <v>35</v>
      </c>
      <c r="D868" t="s">
        <v>13</v>
      </c>
      <c r="E868">
        <v>8</v>
      </c>
      <c r="F868">
        <v>150</v>
      </c>
      <c r="G868">
        <v>1200</v>
      </c>
      <c r="H868">
        <v>0.09</v>
      </c>
      <c r="I868">
        <v>108</v>
      </c>
      <c r="J868" t="s">
        <v>26</v>
      </c>
    </row>
    <row r="869" spans="1:10" x14ac:dyDescent="0.45">
      <c r="A869" t="s">
        <v>930</v>
      </c>
      <c r="B869" t="s">
        <v>292</v>
      </c>
      <c r="C869" t="s">
        <v>35</v>
      </c>
      <c r="D869" t="s">
        <v>13</v>
      </c>
      <c r="E869">
        <v>20</v>
      </c>
      <c r="F869">
        <v>150</v>
      </c>
      <c r="G869">
        <v>3000</v>
      </c>
      <c r="H869">
        <v>0.01</v>
      </c>
      <c r="I869">
        <v>30</v>
      </c>
      <c r="J869" t="s">
        <v>29</v>
      </c>
    </row>
    <row r="870" spans="1:10" x14ac:dyDescent="0.45">
      <c r="A870" t="s">
        <v>931</v>
      </c>
      <c r="B870" t="s">
        <v>292</v>
      </c>
      <c r="C870" t="s">
        <v>20</v>
      </c>
      <c r="D870" t="s">
        <v>17</v>
      </c>
      <c r="E870">
        <v>22</v>
      </c>
      <c r="F870">
        <v>230</v>
      </c>
      <c r="G870">
        <v>5060</v>
      </c>
      <c r="H870">
        <v>0.11</v>
      </c>
      <c r="I870">
        <v>556.6</v>
      </c>
      <c r="J870" t="s">
        <v>33</v>
      </c>
    </row>
    <row r="871" spans="1:10" x14ac:dyDescent="0.45">
      <c r="A871" t="s">
        <v>932</v>
      </c>
      <c r="B871" t="s">
        <v>292</v>
      </c>
      <c r="C871" t="s">
        <v>31</v>
      </c>
      <c r="D871" t="s">
        <v>25</v>
      </c>
      <c r="E871">
        <v>23</v>
      </c>
      <c r="F871">
        <v>16</v>
      </c>
      <c r="G871">
        <v>368</v>
      </c>
      <c r="H871">
        <v>0.11</v>
      </c>
      <c r="I871">
        <v>40.479999999999997</v>
      </c>
      <c r="J871" t="s">
        <v>36</v>
      </c>
    </row>
    <row r="872" spans="1:10" x14ac:dyDescent="0.45">
      <c r="A872" t="s">
        <v>933</v>
      </c>
      <c r="B872" t="s">
        <v>292</v>
      </c>
      <c r="C872" t="s">
        <v>12</v>
      </c>
      <c r="D872" t="s">
        <v>13</v>
      </c>
      <c r="E872">
        <v>6</v>
      </c>
      <c r="F872">
        <v>80</v>
      </c>
      <c r="G872">
        <v>480</v>
      </c>
      <c r="H872">
        <v>0.01</v>
      </c>
      <c r="I872">
        <v>4.8</v>
      </c>
      <c r="J872" t="s">
        <v>38</v>
      </c>
    </row>
    <row r="873" spans="1:10" x14ac:dyDescent="0.45">
      <c r="A873" t="s">
        <v>934</v>
      </c>
      <c r="B873" t="s">
        <v>292</v>
      </c>
      <c r="C873" t="s">
        <v>31</v>
      </c>
      <c r="D873" t="s">
        <v>13</v>
      </c>
      <c r="E873">
        <v>7</v>
      </c>
      <c r="F873">
        <v>16</v>
      </c>
      <c r="G873">
        <v>112</v>
      </c>
      <c r="H873">
        <v>0.12</v>
      </c>
      <c r="I873">
        <v>13.44</v>
      </c>
      <c r="J873" t="s">
        <v>40</v>
      </c>
    </row>
    <row r="874" spans="1:10" x14ac:dyDescent="0.45">
      <c r="A874" t="s">
        <v>935</v>
      </c>
      <c r="B874" t="s">
        <v>292</v>
      </c>
      <c r="C874" t="s">
        <v>12</v>
      </c>
      <c r="D874" t="s">
        <v>17</v>
      </c>
      <c r="E874">
        <v>10</v>
      </c>
      <c r="F874">
        <v>80</v>
      </c>
      <c r="G874">
        <v>800</v>
      </c>
      <c r="H874">
        <v>0.11</v>
      </c>
      <c r="I874">
        <v>88</v>
      </c>
      <c r="J874" t="s">
        <v>42</v>
      </c>
    </row>
    <row r="875" spans="1:10" x14ac:dyDescent="0.45">
      <c r="A875" t="s">
        <v>936</v>
      </c>
      <c r="B875" t="s">
        <v>292</v>
      </c>
      <c r="C875" t="s">
        <v>20</v>
      </c>
      <c r="D875" t="s">
        <v>13</v>
      </c>
      <c r="E875">
        <v>9</v>
      </c>
      <c r="F875">
        <v>230</v>
      </c>
      <c r="G875">
        <v>2070</v>
      </c>
      <c r="H875">
        <v>7.0000000000000007E-2</v>
      </c>
      <c r="I875">
        <v>144.9</v>
      </c>
      <c r="J875" t="s">
        <v>45</v>
      </c>
    </row>
    <row r="876" spans="1:10" x14ac:dyDescent="0.45">
      <c r="A876" t="s">
        <v>937</v>
      </c>
      <c r="B876" t="s">
        <v>304</v>
      </c>
      <c r="C876" t="s">
        <v>16</v>
      </c>
      <c r="D876" t="s">
        <v>17</v>
      </c>
      <c r="E876">
        <v>12</v>
      </c>
      <c r="F876">
        <v>40</v>
      </c>
      <c r="G876">
        <v>480</v>
      </c>
      <c r="H876">
        <v>0.1</v>
      </c>
      <c r="I876">
        <v>48</v>
      </c>
      <c r="J876" t="s">
        <v>14</v>
      </c>
    </row>
    <row r="877" spans="1:10" x14ac:dyDescent="0.45">
      <c r="A877" t="s">
        <v>938</v>
      </c>
      <c r="B877" t="s">
        <v>304</v>
      </c>
      <c r="C877" t="s">
        <v>31</v>
      </c>
      <c r="D877" t="s">
        <v>32</v>
      </c>
      <c r="E877">
        <v>17</v>
      </c>
      <c r="F877">
        <v>16</v>
      </c>
      <c r="G877">
        <v>272</v>
      </c>
      <c r="H877">
        <v>0.1</v>
      </c>
      <c r="I877">
        <v>27.200000000000003</v>
      </c>
      <c r="J877" t="s">
        <v>18</v>
      </c>
    </row>
    <row r="878" spans="1:10" x14ac:dyDescent="0.45">
      <c r="A878" t="s">
        <v>939</v>
      </c>
      <c r="B878" t="s">
        <v>304</v>
      </c>
      <c r="C878" t="s">
        <v>35</v>
      </c>
      <c r="D878" t="s">
        <v>25</v>
      </c>
      <c r="E878">
        <v>22</v>
      </c>
      <c r="F878">
        <v>150</v>
      </c>
      <c r="G878">
        <v>3300</v>
      </c>
      <c r="H878">
        <v>0.04</v>
      </c>
      <c r="I878">
        <v>132</v>
      </c>
      <c r="J878" t="s">
        <v>21</v>
      </c>
    </row>
    <row r="879" spans="1:10" x14ac:dyDescent="0.45">
      <c r="A879" t="s">
        <v>940</v>
      </c>
      <c r="B879" t="s">
        <v>304</v>
      </c>
      <c r="C879" t="s">
        <v>35</v>
      </c>
      <c r="D879" t="s">
        <v>25</v>
      </c>
      <c r="E879">
        <v>11</v>
      </c>
      <c r="F879">
        <v>150</v>
      </c>
      <c r="G879">
        <v>1650</v>
      </c>
      <c r="H879">
        <v>0.05</v>
      </c>
      <c r="I879">
        <v>82.5</v>
      </c>
      <c r="J879" t="s">
        <v>23</v>
      </c>
    </row>
    <row r="880" spans="1:10" x14ac:dyDescent="0.45">
      <c r="A880" t="s">
        <v>941</v>
      </c>
      <c r="B880" t="s">
        <v>304</v>
      </c>
      <c r="C880" t="s">
        <v>12</v>
      </c>
      <c r="D880" t="s">
        <v>32</v>
      </c>
      <c r="E880">
        <v>9</v>
      </c>
      <c r="F880">
        <v>80</v>
      </c>
      <c r="G880">
        <v>720</v>
      </c>
      <c r="H880">
        <v>0.02</v>
      </c>
      <c r="I880">
        <v>14.4</v>
      </c>
      <c r="J880" t="s">
        <v>26</v>
      </c>
    </row>
    <row r="881" spans="1:10" x14ac:dyDescent="0.45">
      <c r="A881" t="s">
        <v>942</v>
      </c>
      <c r="B881" t="s">
        <v>304</v>
      </c>
      <c r="C881" t="s">
        <v>12</v>
      </c>
      <c r="D881" t="s">
        <v>32</v>
      </c>
      <c r="E881">
        <v>13</v>
      </c>
      <c r="F881">
        <v>80</v>
      </c>
      <c r="G881">
        <v>1040</v>
      </c>
      <c r="H881">
        <v>0.05</v>
      </c>
      <c r="I881">
        <v>52</v>
      </c>
      <c r="J881" t="s">
        <v>29</v>
      </c>
    </row>
    <row r="882" spans="1:10" x14ac:dyDescent="0.45">
      <c r="A882" t="s">
        <v>943</v>
      </c>
      <c r="B882" t="s">
        <v>304</v>
      </c>
      <c r="C882" t="s">
        <v>16</v>
      </c>
      <c r="D882" t="s">
        <v>32</v>
      </c>
      <c r="E882">
        <v>20</v>
      </c>
      <c r="F882">
        <v>40</v>
      </c>
      <c r="G882">
        <v>800</v>
      </c>
      <c r="H882">
        <v>0.1</v>
      </c>
      <c r="I882">
        <v>80</v>
      </c>
      <c r="J882" t="s">
        <v>18</v>
      </c>
    </row>
    <row r="883" spans="1:10" x14ac:dyDescent="0.45">
      <c r="A883" t="s">
        <v>944</v>
      </c>
      <c r="B883" t="s">
        <v>304</v>
      </c>
      <c r="C883" t="s">
        <v>16</v>
      </c>
      <c r="D883" t="s">
        <v>17</v>
      </c>
      <c r="E883">
        <v>15</v>
      </c>
      <c r="F883">
        <v>40</v>
      </c>
      <c r="G883">
        <v>600</v>
      </c>
      <c r="H883">
        <v>0.02</v>
      </c>
      <c r="I883">
        <v>12</v>
      </c>
      <c r="J883" t="s">
        <v>21</v>
      </c>
    </row>
    <row r="884" spans="1:10" x14ac:dyDescent="0.45">
      <c r="A884" t="s">
        <v>945</v>
      </c>
      <c r="B884" t="s">
        <v>319</v>
      </c>
      <c r="C884" t="s">
        <v>35</v>
      </c>
      <c r="D884" t="s">
        <v>32</v>
      </c>
      <c r="E884">
        <v>15</v>
      </c>
      <c r="F884">
        <v>150</v>
      </c>
      <c r="G884">
        <v>2250</v>
      </c>
      <c r="H884">
        <v>7.0000000000000007E-2</v>
      </c>
      <c r="I884">
        <v>157.50000000000003</v>
      </c>
      <c r="J884" t="s">
        <v>23</v>
      </c>
    </row>
    <row r="885" spans="1:10" x14ac:dyDescent="0.45">
      <c r="A885" t="s">
        <v>946</v>
      </c>
      <c r="B885" t="s">
        <v>319</v>
      </c>
      <c r="C885" t="s">
        <v>12</v>
      </c>
      <c r="D885" t="s">
        <v>32</v>
      </c>
      <c r="E885">
        <v>16</v>
      </c>
      <c r="F885">
        <v>80</v>
      </c>
      <c r="G885">
        <v>1280</v>
      </c>
      <c r="H885">
        <v>0.09</v>
      </c>
      <c r="I885">
        <v>115.19999999999999</v>
      </c>
      <c r="J885" t="s">
        <v>26</v>
      </c>
    </row>
    <row r="886" spans="1:10" x14ac:dyDescent="0.45">
      <c r="A886" t="s">
        <v>947</v>
      </c>
      <c r="B886" t="s">
        <v>319</v>
      </c>
      <c r="C886" t="s">
        <v>20</v>
      </c>
      <c r="D886" t="s">
        <v>13</v>
      </c>
      <c r="E886">
        <v>16</v>
      </c>
      <c r="F886">
        <v>230</v>
      </c>
      <c r="G886">
        <v>3680</v>
      </c>
      <c r="H886">
        <v>7.0000000000000007E-2</v>
      </c>
      <c r="I886">
        <v>257.60000000000002</v>
      </c>
      <c r="J886" t="s">
        <v>29</v>
      </c>
    </row>
    <row r="887" spans="1:10" x14ac:dyDescent="0.45">
      <c r="A887" t="s">
        <v>948</v>
      </c>
      <c r="B887" t="s">
        <v>319</v>
      </c>
      <c r="C887" t="s">
        <v>12</v>
      </c>
      <c r="D887" t="s">
        <v>17</v>
      </c>
      <c r="E887">
        <v>14</v>
      </c>
      <c r="F887">
        <v>80</v>
      </c>
      <c r="G887">
        <v>1120</v>
      </c>
      <c r="H887">
        <v>0.11</v>
      </c>
      <c r="I887">
        <v>123.2</v>
      </c>
      <c r="J887" t="s">
        <v>33</v>
      </c>
    </row>
    <row r="888" spans="1:10" x14ac:dyDescent="0.45">
      <c r="A888" t="s">
        <v>949</v>
      </c>
      <c r="B888" t="s">
        <v>319</v>
      </c>
      <c r="C888" t="s">
        <v>12</v>
      </c>
      <c r="D888" t="s">
        <v>32</v>
      </c>
      <c r="E888">
        <v>17</v>
      </c>
      <c r="F888">
        <v>80</v>
      </c>
      <c r="G888">
        <v>1360</v>
      </c>
      <c r="H888">
        <v>7.0000000000000007E-2</v>
      </c>
      <c r="I888">
        <v>95.2</v>
      </c>
      <c r="J888" t="s">
        <v>36</v>
      </c>
    </row>
    <row r="889" spans="1:10" x14ac:dyDescent="0.45">
      <c r="A889" t="s">
        <v>950</v>
      </c>
      <c r="B889" t="s">
        <v>319</v>
      </c>
      <c r="C889" t="s">
        <v>12</v>
      </c>
      <c r="D889" t="s">
        <v>25</v>
      </c>
      <c r="E889">
        <v>16</v>
      </c>
      <c r="F889">
        <v>80</v>
      </c>
      <c r="G889">
        <v>1280</v>
      </c>
      <c r="H889">
        <v>0.02</v>
      </c>
      <c r="I889">
        <v>25.6</v>
      </c>
      <c r="J889" t="s">
        <v>38</v>
      </c>
    </row>
    <row r="890" spans="1:10" x14ac:dyDescent="0.45">
      <c r="A890" t="s">
        <v>951</v>
      </c>
      <c r="B890" t="s">
        <v>319</v>
      </c>
      <c r="C890" t="s">
        <v>31</v>
      </c>
      <c r="D890" t="s">
        <v>13</v>
      </c>
      <c r="E890">
        <v>21</v>
      </c>
      <c r="F890">
        <v>16</v>
      </c>
      <c r="G890">
        <v>336</v>
      </c>
      <c r="H890">
        <v>0.09</v>
      </c>
      <c r="I890">
        <v>30.24</v>
      </c>
      <c r="J890" t="s">
        <v>40</v>
      </c>
    </row>
    <row r="891" spans="1:10" x14ac:dyDescent="0.45">
      <c r="A891" t="s">
        <v>952</v>
      </c>
      <c r="B891" t="s">
        <v>319</v>
      </c>
      <c r="C891" t="s">
        <v>35</v>
      </c>
      <c r="D891" t="s">
        <v>13</v>
      </c>
      <c r="E891">
        <v>9</v>
      </c>
      <c r="F891">
        <v>150</v>
      </c>
      <c r="G891">
        <v>1350</v>
      </c>
      <c r="H891">
        <v>0.1</v>
      </c>
      <c r="I891">
        <v>135</v>
      </c>
      <c r="J891" t="s">
        <v>42</v>
      </c>
    </row>
    <row r="892" spans="1:10" x14ac:dyDescent="0.45">
      <c r="A892" t="s">
        <v>953</v>
      </c>
      <c r="B892" t="s">
        <v>319</v>
      </c>
      <c r="C892" t="s">
        <v>35</v>
      </c>
      <c r="D892" t="s">
        <v>28</v>
      </c>
      <c r="E892">
        <v>3</v>
      </c>
      <c r="F892">
        <v>150</v>
      </c>
      <c r="G892">
        <v>450</v>
      </c>
      <c r="H892">
        <v>0.01</v>
      </c>
      <c r="I892">
        <v>4.5</v>
      </c>
      <c r="J892" t="s">
        <v>45</v>
      </c>
    </row>
    <row r="893" spans="1:10" x14ac:dyDescent="0.45">
      <c r="A893" t="s">
        <v>954</v>
      </c>
      <c r="B893" t="s">
        <v>338</v>
      </c>
      <c r="C893" t="s">
        <v>12</v>
      </c>
      <c r="D893" t="s">
        <v>17</v>
      </c>
      <c r="E893">
        <v>14</v>
      </c>
      <c r="F893">
        <v>80</v>
      </c>
      <c r="G893">
        <v>1120</v>
      </c>
      <c r="H893">
        <v>0.06</v>
      </c>
      <c r="I893">
        <v>67.2</v>
      </c>
      <c r="J893" t="s">
        <v>14</v>
      </c>
    </row>
    <row r="894" spans="1:10" x14ac:dyDescent="0.45">
      <c r="A894" t="s">
        <v>955</v>
      </c>
      <c r="B894" t="s">
        <v>338</v>
      </c>
      <c r="C894" t="s">
        <v>35</v>
      </c>
      <c r="D894" t="s">
        <v>32</v>
      </c>
      <c r="E894">
        <v>4</v>
      </c>
      <c r="F894">
        <v>150</v>
      </c>
      <c r="G894">
        <v>600</v>
      </c>
      <c r="H894">
        <v>0.05</v>
      </c>
      <c r="I894">
        <v>30</v>
      </c>
      <c r="J894" t="s">
        <v>18</v>
      </c>
    </row>
    <row r="895" spans="1:10" x14ac:dyDescent="0.45">
      <c r="A895" t="s">
        <v>956</v>
      </c>
      <c r="B895" t="s">
        <v>338</v>
      </c>
      <c r="C895" t="s">
        <v>31</v>
      </c>
      <c r="D895" t="s">
        <v>17</v>
      </c>
      <c r="E895">
        <v>20</v>
      </c>
      <c r="F895">
        <v>16</v>
      </c>
      <c r="G895">
        <v>320</v>
      </c>
      <c r="H895">
        <v>0.06</v>
      </c>
      <c r="I895">
        <v>19.2</v>
      </c>
      <c r="J895" t="s">
        <v>21</v>
      </c>
    </row>
    <row r="896" spans="1:10" x14ac:dyDescent="0.45">
      <c r="A896" t="s">
        <v>957</v>
      </c>
      <c r="B896" t="s">
        <v>338</v>
      </c>
      <c r="C896" t="s">
        <v>20</v>
      </c>
      <c r="D896" t="s">
        <v>25</v>
      </c>
      <c r="E896">
        <v>7</v>
      </c>
      <c r="F896">
        <v>230</v>
      </c>
      <c r="G896">
        <v>1610</v>
      </c>
      <c r="H896">
        <v>0.01</v>
      </c>
      <c r="I896">
        <v>16.100000000000001</v>
      </c>
      <c r="J896" t="s">
        <v>23</v>
      </c>
    </row>
    <row r="897" spans="1:10" x14ac:dyDescent="0.45">
      <c r="A897" t="s">
        <v>958</v>
      </c>
      <c r="B897" t="s">
        <v>338</v>
      </c>
      <c r="C897" t="s">
        <v>12</v>
      </c>
      <c r="D897" t="s">
        <v>17</v>
      </c>
      <c r="E897">
        <v>9</v>
      </c>
      <c r="F897">
        <v>80</v>
      </c>
      <c r="G897">
        <v>720</v>
      </c>
      <c r="H897">
        <v>0.03</v>
      </c>
      <c r="I897">
        <v>21.599999999999998</v>
      </c>
      <c r="J897" t="s">
        <v>26</v>
      </c>
    </row>
    <row r="898" spans="1:10" x14ac:dyDescent="0.45">
      <c r="A898" t="s">
        <v>959</v>
      </c>
      <c r="B898" t="s">
        <v>338</v>
      </c>
      <c r="C898" t="s">
        <v>16</v>
      </c>
      <c r="D898" t="s">
        <v>28</v>
      </c>
      <c r="E898">
        <v>4</v>
      </c>
      <c r="F898">
        <v>40</v>
      </c>
      <c r="G898">
        <v>160</v>
      </c>
      <c r="H898">
        <v>0.05</v>
      </c>
      <c r="I898">
        <v>8</v>
      </c>
      <c r="J898" t="s">
        <v>29</v>
      </c>
    </row>
    <row r="899" spans="1:10" x14ac:dyDescent="0.45">
      <c r="A899" t="s">
        <v>960</v>
      </c>
      <c r="B899" t="s">
        <v>338</v>
      </c>
      <c r="C899" t="s">
        <v>12</v>
      </c>
      <c r="D899" t="s">
        <v>13</v>
      </c>
      <c r="E899">
        <v>6</v>
      </c>
      <c r="F899">
        <v>80</v>
      </c>
      <c r="G899">
        <v>480</v>
      </c>
      <c r="H899">
        <v>7.0000000000000007E-2</v>
      </c>
      <c r="I899">
        <v>33.6</v>
      </c>
      <c r="J899" t="s">
        <v>18</v>
      </c>
    </row>
    <row r="900" spans="1:10" x14ac:dyDescent="0.45">
      <c r="A900" t="s">
        <v>961</v>
      </c>
      <c r="B900" t="s">
        <v>338</v>
      </c>
      <c r="C900" t="s">
        <v>31</v>
      </c>
      <c r="D900" t="s">
        <v>25</v>
      </c>
      <c r="E900">
        <v>8</v>
      </c>
      <c r="F900">
        <v>16</v>
      </c>
      <c r="G900">
        <v>128</v>
      </c>
      <c r="H900">
        <v>0.03</v>
      </c>
      <c r="I900">
        <v>3.84</v>
      </c>
      <c r="J900" t="s">
        <v>21</v>
      </c>
    </row>
    <row r="901" spans="1:10" x14ac:dyDescent="0.45">
      <c r="A901" t="s">
        <v>962</v>
      </c>
      <c r="B901" t="s">
        <v>338</v>
      </c>
      <c r="C901" t="s">
        <v>31</v>
      </c>
      <c r="D901" t="s">
        <v>13</v>
      </c>
      <c r="E901">
        <v>10</v>
      </c>
      <c r="F901">
        <v>16</v>
      </c>
      <c r="G901">
        <v>160</v>
      </c>
      <c r="H901">
        <v>0.08</v>
      </c>
      <c r="I901">
        <v>12.8</v>
      </c>
      <c r="J901" t="s">
        <v>23</v>
      </c>
    </row>
    <row r="902" spans="1:10" x14ac:dyDescent="0.45">
      <c r="A902" t="s">
        <v>963</v>
      </c>
      <c r="B902" t="s">
        <v>338</v>
      </c>
      <c r="C902" t="s">
        <v>31</v>
      </c>
      <c r="D902" t="s">
        <v>28</v>
      </c>
      <c r="E902">
        <v>22</v>
      </c>
      <c r="F902">
        <v>16</v>
      </c>
      <c r="G902">
        <v>352</v>
      </c>
      <c r="H902">
        <v>0.03</v>
      </c>
      <c r="I902">
        <v>10.559999999999999</v>
      </c>
      <c r="J902" t="s">
        <v>26</v>
      </c>
    </row>
    <row r="903" spans="1:10" x14ac:dyDescent="0.45">
      <c r="A903" t="s">
        <v>964</v>
      </c>
      <c r="B903" t="s">
        <v>338</v>
      </c>
      <c r="C903" t="s">
        <v>12</v>
      </c>
      <c r="D903" t="s">
        <v>28</v>
      </c>
      <c r="E903">
        <v>11</v>
      </c>
      <c r="F903">
        <v>80</v>
      </c>
      <c r="G903">
        <v>880</v>
      </c>
      <c r="H903">
        <v>0.01</v>
      </c>
      <c r="I903">
        <v>8.8000000000000007</v>
      </c>
      <c r="J903" t="s">
        <v>29</v>
      </c>
    </row>
    <row r="904" spans="1:10" x14ac:dyDescent="0.45">
      <c r="A904" t="s">
        <v>965</v>
      </c>
      <c r="B904" t="s">
        <v>338</v>
      </c>
      <c r="C904" t="s">
        <v>31</v>
      </c>
      <c r="D904" t="s">
        <v>28</v>
      </c>
      <c r="E904">
        <v>7</v>
      </c>
      <c r="F904">
        <v>16</v>
      </c>
      <c r="G904">
        <v>112</v>
      </c>
      <c r="H904">
        <v>0.08</v>
      </c>
      <c r="I904">
        <v>8.9600000000000009</v>
      </c>
      <c r="J904" t="s">
        <v>33</v>
      </c>
    </row>
    <row r="905" spans="1:10" x14ac:dyDescent="0.45">
      <c r="A905" t="s">
        <v>966</v>
      </c>
      <c r="B905" t="s">
        <v>350</v>
      </c>
      <c r="C905" t="s">
        <v>31</v>
      </c>
      <c r="D905" t="s">
        <v>25</v>
      </c>
      <c r="E905">
        <v>11</v>
      </c>
      <c r="F905">
        <v>16</v>
      </c>
      <c r="G905">
        <v>176</v>
      </c>
      <c r="H905">
        <v>0.12</v>
      </c>
      <c r="I905">
        <v>21.119999999999997</v>
      </c>
      <c r="J905" t="s">
        <v>36</v>
      </c>
    </row>
    <row r="906" spans="1:10" x14ac:dyDescent="0.45">
      <c r="A906" t="s">
        <v>967</v>
      </c>
      <c r="B906" t="s">
        <v>350</v>
      </c>
      <c r="C906" t="s">
        <v>16</v>
      </c>
      <c r="D906" t="s">
        <v>32</v>
      </c>
      <c r="E906">
        <v>7</v>
      </c>
      <c r="F906">
        <v>40</v>
      </c>
      <c r="G906">
        <v>280</v>
      </c>
      <c r="H906">
        <v>0.05</v>
      </c>
      <c r="I906">
        <v>14</v>
      </c>
      <c r="J906" t="s">
        <v>38</v>
      </c>
    </row>
    <row r="907" spans="1:10" x14ac:dyDescent="0.45">
      <c r="A907" t="s">
        <v>968</v>
      </c>
      <c r="B907" t="s">
        <v>350</v>
      </c>
      <c r="C907" t="s">
        <v>35</v>
      </c>
      <c r="D907" t="s">
        <v>25</v>
      </c>
      <c r="E907">
        <v>9</v>
      </c>
      <c r="F907">
        <v>150</v>
      </c>
      <c r="G907">
        <v>1350</v>
      </c>
      <c r="H907">
        <v>0.06</v>
      </c>
      <c r="I907">
        <v>81</v>
      </c>
      <c r="J907" t="s">
        <v>40</v>
      </c>
    </row>
    <row r="908" spans="1:10" x14ac:dyDescent="0.45">
      <c r="A908" t="s">
        <v>969</v>
      </c>
      <c r="B908" t="s">
        <v>350</v>
      </c>
      <c r="C908" t="s">
        <v>20</v>
      </c>
      <c r="D908" t="s">
        <v>13</v>
      </c>
      <c r="E908">
        <v>20</v>
      </c>
      <c r="F908">
        <v>230</v>
      </c>
      <c r="G908">
        <v>4600</v>
      </c>
      <c r="H908">
        <v>0.04</v>
      </c>
      <c r="I908">
        <v>184</v>
      </c>
      <c r="J908" t="s">
        <v>42</v>
      </c>
    </row>
    <row r="909" spans="1:10" x14ac:dyDescent="0.45">
      <c r="A909" t="s">
        <v>970</v>
      </c>
      <c r="B909" t="s">
        <v>350</v>
      </c>
      <c r="C909" t="s">
        <v>35</v>
      </c>
      <c r="D909" t="s">
        <v>25</v>
      </c>
      <c r="E909">
        <v>9</v>
      </c>
      <c r="F909">
        <v>150</v>
      </c>
      <c r="G909">
        <v>1350</v>
      </c>
      <c r="H909">
        <v>0.02</v>
      </c>
      <c r="I909">
        <v>27</v>
      </c>
      <c r="J909" t="s">
        <v>45</v>
      </c>
    </row>
    <row r="910" spans="1:10" x14ac:dyDescent="0.45">
      <c r="A910" t="s">
        <v>971</v>
      </c>
      <c r="B910" t="s">
        <v>350</v>
      </c>
      <c r="C910" t="s">
        <v>12</v>
      </c>
      <c r="D910" t="s">
        <v>17</v>
      </c>
      <c r="E910">
        <v>5</v>
      </c>
      <c r="F910">
        <v>80</v>
      </c>
      <c r="G910">
        <v>400</v>
      </c>
      <c r="H910">
        <v>7.0000000000000007E-2</v>
      </c>
      <c r="I910">
        <v>28.000000000000004</v>
      </c>
      <c r="J910" t="s">
        <v>14</v>
      </c>
    </row>
    <row r="911" spans="1:10" x14ac:dyDescent="0.45">
      <c r="A911" t="s">
        <v>972</v>
      </c>
      <c r="B911" t="s">
        <v>350</v>
      </c>
      <c r="C911" t="s">
        <v>35</v>
      </c>
      <c r="D911" t="s">
        <v>25</v>
      </c>
      <c r="E911">
        <v>20</v>
      </c>
      <c r="F911">
        <v>150</v>
      </c>
      <c r="G911">
        <v>3000</v>
      </c>
      <c r="H911">
        <v>0.04</v>
      </c>
      <c r="I911">
        <v>120</v>
      </c>
      <c r="J911" t="s">
        <v>18</v>
      </c>
    </row>
    <row r="912" spans="1:10" x14ac:dyDescent="0.45">
      <c r="A912" t="s">
        <v>973</v>
      </c>
      <c r="B912" t="s">
        <v>350</v>
      </c>
      <c r="C912" t="s">
        <v>35</v>
      </c>
      <c r="D912" t="s">
        <v>28</v>
      </c>
      <c r="E912">
        <v>15</v>
      </c>
      <c r="F912">
        <v>150</v>
      </c>
      <c r="G912">
        <v>2250</v>
      </c>
      <c r="H912">
        <v>0.05</v>
      </c>
      <c r="I912">
        <v>112.5</v>
      </c>
      <c r="J912" t="s">
        <v>21</v>
      </c>
    </row>
    <row r="913" spans="1:10" x14ac:dyDescent="0.45">
      <c r="A913" t="s">
        <v>974</v>
      </c>
      <c r="B913" t="s">
        <v>350</v>
      </c>
      <c r="C913" t="s">
        <v>12</v>
      </c>
      <c r="D913" t="s">
        <v>13</v>
      </c>
      <c r="E913">
        <v>20</v>
      </c>
      <c r="F913">
        <v>80</v>
      </c>
      <c r="G913">
        <v>1600</v>
      </c>
      <c r="H913">
        <v>0.01</v>
      </c>
      <c r="I913">
        <v>16</v>
      </c>
      <c r="J913" t="s">
        <v>23</v>
      </c>
    </row>
    <row r="914" spans="1:10" x14ac:dyDescent="0.45">
      <c r="A914" t="s">
        <v>975</v>
      </c>
      <c r="B914" t="s">
        <v>359</v>
      </c>
      <c r="C914" t="s">
        <v>20</v>
      </c>
      <c r="D914" t="s">
        <v>17</v>
      </c>
      <c r="E914">
        <v>12</v>
      </c>
      <c r="F914">
        <v>230</v>
      </c>
      <c r="G914">
        <v>2760</v>
      </c>
      <c r="H914">
        <v>0.03</v>
      </c>
      <c r="I914">
        <v>82.8</v>
      </c>
      <c r="J914" t="s">
        <v>26</v>
      </c>
    </row>
    <row r="915" spans="1:10" x14ac:dyDescent="0.45">
      <c r="A915" t="s">
        <v>976</v>
      </c>
      <c r="B915" t="s">
        <v>359</v>
      </c>
      <c r="C915" t="s">
        <v>16</v>
      </c>
      <c r="D915" t="s">
        <v>32</v>
      </c>
      <c r="E915">
        <v>20</v>
      </c>
      <c r="F915">
        <v>40</v>
      </c>
      <c r="G915">
        <v>800</v>
      </c>
      <c r="H915">
        <v>0.05</v>
      </c>
      <c r="I915">
        <v>40</v>
      </c>
      <c r="J915" t="s">
        <v>29</v>
      </c>
    </row>
    <row r="916" spans="1:10" x14ac:dyDescent="0.45">
      <c r="A916" t="s">
        <v>977</v>
      </c>
      <c r="B916" t="s">
        <v>359</v>
      </c>
      <c r="C916" t="s">
        <v>16</v>
      </c>
      <c r="D916" t="s">
        <v>32</v>
      </c>
      <c r="E916">
        <v>4</v>
      </c>
      <c r="F916">
        <v>40</v>
      </c>
      <c r="G916">
        <v>160</v>
      </c>
      <c r="H916">
        <v>0.09</v>
      </c>
      <c r="I916">
        <v>14.399999999999999</v>
      </c>
      <c r="J916" t="s">
        <v>18</v>
      </c>
    </row>
    <row r="917" spans="1:10" x14ac:dyDescent="0.45">
      <c r="A917" t="s">
        <v>978</v>
      </c>
      <c r="B917" t="s">
        <v>359</v>
      </c>
      <c r="C917" t="s">
        <v>31</v>
      </c>
      <c r="D917" t="s">
        <v>25</v>
      </c>
      <c r="E917">
        <v>6</v>
      </c>
      <c r="F917">
        <v>16</v>
      </c>
      <c r="G917">
        <v>96</v>
      </c>
      <c r="H917">
        <v>7.0000000000000007E-2</v>
      </c>
      <c r="I917">
        <v>6.7200000000000006</v>
      </c>
      <c r="J917" t="s">
        <v>21</v>
      </c>
    </row>
    <row r="918" spans="1:10" x14ac:dyDescent="0.45">
      <c r="A918" t="s">
        <v>979</v>
      </c>
      <c r="B918" t="s">
        <v>359</v>
      </c>
      <c r="C918" t="s">
        <v>12</v>
      </c>
      <c r="D918" t="s">
        <v>17</v>
      </c>
      <c r="E918">
        <v>13</v>
      </c>
      <c r="F918">
        <v>80</v>
      </c>
      <c r="G918">
        <v>1040</v>
      </c>
      <c r="H918">
        <v>0.06</v>
      </c>
      <c r="I918">
        <v>62.4</v>
      </c>
      <c r="J918" t="s">
        <v>23</v>
      </c>
    </row>
    <row r="919" spans="1:10" x14ac:dyDescent="0.45">
      <c r="A919" t="s">
        <v>980</v>
      </c>
      <c r="B919" t="s">
        <v>359</v>
      </c>
      <c r="C919" t="s">
        <v>35</v>
      </c>
      <c r="D919" t="s">
        <v>13</v>
      </c>
      <c r="E919">
        <v>4</v>
      </c>
      <c r="F919">
        <v>150</v>
      </c>
      <c r="G919">
        <v>600</v>
      </c>
      <c r="H919">
        <v>0.1</v>
      </c>
      <c r="I919">
        <v>60</v>
      </c>
      <c r="J919" t="s">
        <v>26</v>
      </c>
    </row>
    <row r="920" spans="1:10" x14ac:dyDescent="0.45">
      <c r="A920" t="s">
        <v>981</v>
      </c>
      <c r="B920" t="s">
        <v>359</v>
      </c>
      <c r="C920" t="s">
        <v>35</v>
      </c>
      <c r="D920" t="s">
        <v>28</v>
      </c>
      <c r="E920">
        <v>9</v>
      </c>
      <c r="F920">
        <v>150</v>
      </c>
      <c r="G920">
        <v>1350</v>
      </c>
      <c r="H920">
        <v>0.02</v>
      </c>
      <c r="I920">
        <v>27</v>
      </c>
      <c r="J920" t="s">
        <v>29</v>
      </c>
    </row>
    <row r="921" spans="1:10" x14ac:dyDescent="0.45">
      <c r="A921" t="s">
        <v>982</v>
      </c>
      <c r="B921" t="s">
        <v>359</v>
      </c>
      <c r="C921" t="s">
        <v>35</v>
      </c>
      <c r="D921" t="s">
        <v>13</v>
      </c>
      <c r="E921">
        <v>11</v>
      </c>
      <c r="F921">
        <v>150</v>
      </c>
      <c r="G921">
        <v>1650</v>
      </c>
      <c r="H921">
        <v>0.05</v>
      </c>
      <c r="I921">
        <v>82.5</v>
      </c>
      <c r="J921" t="s">
        <v>33</v>
      </c>
    </row>
    <row r="922" spans="1:10" x14ac:dyDescent="0.45">
      <c r="A922" t="s">
        <v>983</v>
      </c>
      <c r="B922" t="s">
        <v>359</v>
      </c>
      <c r="C922" t="s">
        <v>31</v>
      </c>
      <c r="D922" t="s">
        <v>25</v>
      </c>
      <c r="E922">
        <v>6</v>
      </c>
      <c r="F922">
        <v>16</v>
      </c>
      <c r="G922">
        <v>96</v>
      </c>
      <c r="H922">
        <v>0.06</v>
      </c>
      <c r="I922">
        <v>5.76</v>
      </c>
      <c r="J922" t="s">
        <v>36</v>
      </c>
    </row>
    <row r="923" spans="1:10" x14ac:dyDescent="0.45">
      <c r="A923" t="s">
        <v>984</v>
      </c>
      <c r="B923" t="s">
        <v>369</v>
      </c>
      <c r="C923" t="s">
        <v>20</v>
      </c>
      <c r="D923" t="s">
        <v>25</v>
      </c>
      <c r="E923">
        <v>14</v>
      </c>
      <c r="F923">
        <v>230</v>
      </c>
      <c r="G923">
        <v>3220</v>
      </c>
      <c r="H923">
        <v>0.12</v>
      </c>
      <c r="I923">
        <v>386.4</v>
      </c>
      <c r="J923" t="s">
        <v>38</v>
      </c>
    </row>
    <row r="924" spans="1:10" x14ac:dyDescent="0.45">
      <c r="A924" t="s">
        <v>985</v>
      </c>
      <c r="B924" t="s">
        <v>369</v>
      </c>
      <c r="C924" t="s">
        <v>12</v>
      </c>
      <c r="D924" t="s">
        <v>17</v>
      </c>
      <c r="E924">
        <v>15</v>
      </c>
      <c r="F924">
        <v>80</v>
      </c>
      <c r="G924">
        <v>1200</v>
      </c>
      <c r="H924">
        <v>0.12</v>
      </c>
      <c r="I924">
        <v>144</v>
      </c>
      <c r="J924" t="s">
        <v>40</v>
      </c>
    </row>
    <row r="925" spans="1:10" x14ac:dyDescent="0.45">
      <c r="A925" t="s">
        <v>986</v>
      </c>
      <c r="B925" t="s">
        <v>369</v>
      </c>
      <c r="C925" t="s">
        <v>20</v>
      </c>
      <c r="D925" t="s">
        <v>28</v>
      </c>
      <c r="E925">
        <v>17</v>
      </c>
      <c r="F925">
        <v>230</v>
      </c>
      <c r="G925">
        <v>3910</v>
      </c>
      <c r="H925">
        <v>0.12</v>
      </c>
      <c r="I925">
        <v>469.2</v>
      </c>
      <c r="J925" t="s">
        <v>42</v>
      </c>
    </row>
    <row r="926" spans="1:10" x14ac:dyDescent="0.45">
      <c r="A926" t="s">
        <v>987</v>
      </c>
      <c r="B926" t="s">
        <v>369</v>
      </c>
      <c r="C926" t="s">
        <v>35</v>
      </c>
      <c r="D926" t="s">
        <v>13</v>
      </c>
      <c r="E926">
        <v>5</v>
      </c>
      <c r="F926">
        <v>150</v>
      </c>
      <c r="G926">
        <v>750</v>
      </c>
      <c r="H926">
        <v>0.11</v>
      </c>
      <c r="I926">
        <v>82.5</v>
      </c>
      <c r="J926" t="s">
        <v>45</v>
      </c>
    </row>
    <row r="927" spans="1:10" x14ac:dyDescent="0.45">
      <c r="A927" t="s">
        <v>988</v>
      </c>
      <c r="B927" t="s">
        <v>369</v>
      </c>
      <c r="C927" t="s">
        <v>12</v>
      </c>
      <c r="D927" t="s">
        <v>32</v>
      </c>
      <c r="E927">
        <v>10</v>
      </c>
      <c r="F927">
        <v>80</v>
      </c>
      <c r="G927">
        <v>800</v>
      </c>
      <c r="H927">
        <v>0.06</v>
      </c>
      <c r="I927">
        <v>48</v>
      </c>
      <c r="J927" t="s">
        <v>14</v>
      </c>
    </row>
    <row r="928" spans="1:10" x14ac:dyDescent="0.45">
      <c r="A928" t="s">
        <v>989</v>
      </c>
      <c r="B928" t="s">
        <v>369</v>
      </c>
      <c r="C928" t="s">
        <v>12</v>
      </c>
      <c r="D928" t="s">
        <v>13</v>
      </c>
      <c r="E928">
        <v>9</v>
      </c>
      <c r="F928">
        <v>80</v>
      </c>
      <c r="G928">
        <v>720</v>
      </c>
      <c r="H928">
        <v>0.04</v>
      </c>
      <c r="I928">
        <v>28.8</v>
      </c>
      <c r="J928" t="s">
        <v>18</v>
      </c>
    </row>
    <row r="929" spans="1:10" x14ac:dyDescent="0.45">
      <c r="A929" t="s">
        <v>990</v>
      </c>
      <c r="B929" t="s">
        <v>369</v>
      </c>
      <c r="C929" t="s">
        <v>16</v>
      </c>
      <c r="D929" t="s">
        <v>32</v>
      </c>
      <c r="E929">
        <v>16</v>
      </c>
      <c r="F929">
        <v>40</v>
      </c>
      <c r="G929">
        <v>640</v>
      </c>
      <c r="H929">
        <v>0.09</v>
      </c>
      <c r="I929">
        <v>57.599999999999994</v>
      </c>
      <c r="J929" t="s">
        <v>21</v>
      </c>
    </row>
    <row r="930" spans="1:10" x14ac:dyDescent="0.45">
      <c r="A930" t="s">
        <v>991</v>
      </c>
      <c r="B930" t="s">
        <v>369</v>
      </c>
      <c r="C930" t="s">
        <v>20</v>
      </c>
      <c r="D930" t="s">
        <v>13</v>
      </c>
      <c r="E930">
        <v>7</v>
      </c>
      <c r="F930">
        <v>230</v>
      </c>
      <c r="G930">
        <v>1610</v>
      </c>
      <c r="H930">
        <v>0.08</v>
      </c>
      <c r="I930">
        <v>128.80000000000001</v>
      </c>
      <c r="J930" t="s">
        <v>23</v>
      </c>
    </row>
    <row r="931" spans="1:10" x14ac:dyDescent="0.45">
      <c r="A931" t="s">
        <v>992</v>
      </c>
      <c r="B931" t="s">
        <v>369</v>
      </c>
      <c r="C931" t="s">
        <v>12</v>
      </c>
      <c r="D931" t="s">
        <v>28</v>
      </c>
      <c r="E931">
        <v>17</v>
      </c>
      <c r="F931">
        <v>80</v>
      </c>
      <c r="G931">
        <v>1360</v>
      </c>
      <c r="H931">
        <v>0.05</v>
      </c>
      <c r="I931">
        <v>68</v>
      </c>
      <c r="J931" t="s">
        <v>26</v>
      </c>
    </row>
    <row r="932" spans="1:10" x14ac:dyDescent="0.45">
      <c r="A932" t="s">
        <v>993</v>
      </c>
      <c r="B932" t="s">
        <v>369</v>
      </c>
      <c r="C932" t="s">
        <v>20</v>
      </c>
      <c r="D932" t="s">
        <v>13</v>
      </c>
      <c r="E932">
        <v>11</v>
      </c>
      <c r="F932">
        <v>230</v>
      </c>
      <c r="G932">
        <v>2530</v>
      </c>
      <c r="H932">
        <v>0.02</v>
      </c>
      <c r="I932">
        <v>50.6</v>
      </c>
      <c r="J932" t="s">
        <v>29</v>
      </c>
    </row>
    <row r="933" spans="1:10" x14ac:dyDescent="0.45">
      <c r="A933" t="s">
        <v>994</v>
      </c>
      <c r="B933" t="s">
        <v>377</v>
      </c>
      <c r="C933" t="s">
        <v>16</v>
      </c>
      <c r="D933" t="s">
        <v>13</v>
      </c>
      <c r="E933">
        <v>15</v>
      </c>
      <c r="F933">
        <v>40</v>
      </c>
      <c r="G933">
        <v>600</v>
      </c>
      <c r="H933">
        <v>0.06</v>
      </c>
      <c r="I933">
        <v>36</v>
      </c>
      <c r="J933" t="s">
        <v>18</v>
      </c>
    </row>
    <row r="934" spans="1:10" x14ac:dyDescent="0.45">
      <c r="A934" t="s">
        <v>995</v>
      </c>
      <c r="B934" t="s">
        <v>723</v>
      </c>
      <c r="C934" t="s">
        <v>20</v>
      </c>
      <c r="D934" t="s">
        <v>13</v>
      </c>
      <c r="E934">
        <v>7</v>
      </c>
      <c r="F934">
        <v>230</v>
      </c>
      <c r="G934">
        <v>1610</v>
      </c>
      <c r="H934">
        <v>0.02</v>
      </c>
      <c r="I934">
        <v>32.200000000000003</v>
      </c>
      <c r="J934" t="s">
        <v>21</v>
      </c>
    </row>
    <row r="935" spans="1:10" x14ac:dyDescent="0.45">
      <c r="A935" t="s">
        <v>996</v>
      </c>
      <c r="B935" t="s">
        <v>723</v>
      </c>
      <c r="C935" t="s">
        <v>12</v>
      </c>
      <c r="D935" t="s">
        <v>25</v>
      </c>
      <c r="E935">
        <v>20</v>
      </c>
      <c r="F935">
        <v>80</v>
      </c>
      <c r="G935">
        <v>1600</v>
      </c>
      <c r="H935">
        <v>7.0000000000000007E-2</v>
      </c>
      <c r="I935">
        <v>112.00000000000001</v>
      </c>
      <c r="J935" t="s">
        <v>23</v>
      </c>
    </row>
    <row r="936" spans="1:10" x14ac:dyDescent="0.45">
      <c r="A936" t="s">
        <v>997</v>
      </c>
      <c r="B936" t="s">
        <v>723</v>
      </c>
      <c r="C936" t="s">
        <v>12</v>
      </c>
      <c r="D936" t="s">
        <v>17</v>
      </c>
      <c r="E936">
        <v>3</v>
      </c>
      <c r="F936">
        <v>80</v>
      </c>
      <c r="G936">
        <v>240</v>
      </c>
      <c r="H936">
        <v>0.02</v>
      </c>
      <c r="I936">
        <v>4.8</v>
      </c>
      <c r="J936" t="s">
        <v>26</v>
      </c>
    </row>
    <row r="937" spans="1:10" x14ac:dyDescent="0.45">
      <c r="A937" t="s">
        <v>998</v>
      </c>
      <c r="B937" t="s">
        <v>723</v>
      </c>
      <c r="C937" t="s">
        <v>35</v>
      </c>
      <c r="D937" t="s">
        <v>25</v>
      </c>
      <c r="E937">
        <v>2</v>
      </c>
      <c r="F937">
        <v>150</v>
      </c>
      <c r="G937">
        <v>300</v>
      </c>
      <c r="H937">
        <v>0.02</v>
      </c>
      <c r="I937">
        <v>6</v>
      </c>
      <c r="J937" t="s">
        <v>29</v>
      </c>
    </row>
    <row r="938" spans="1:10" x14ac:dyDescent="0.45">
      <c r="A938" t="s">
        <v>999</v>
      </c>
      <c r="B938" t="s">
        <v>723</v>
      </c>
      <c r="C938" t="s">
        <v>35</v>
      </c>
      <c r="D938" t="s">
        <v>25</v>
      </c>
      <c r="E938">
        <v>22</v>
      </c>
      <c r="F938">
        <v>150</v>
      </c>
      <c r="G938">
        <v>3300</v>
      </c>
      <c r="H938">
        <v>0.09</v>
      </c>
      <c r="I938">
        <v>297</v>
      </c>
      <c r="J938" t="s">
        <v>33</v>
      </c>
    </row>
    <row r="939" spans="1:10" x14ac:dyDescent="0.45">
      <c r="A939" t="s">
        <v>1000</v>
      </c>
      <c r="B939" t="s">
        <v>723</v>
      </c>
      <c r="C939" t="s">
        <v>20</v>
      </c>
      <c r="D939" t="s">
        <v>13</v>
      </c>
      <c r="E939">
        <v>5</v>
      </c>
      <c r="F939">
        <v>230</v>
      </c>
      <c r="G939">
        <v>1150</v>
      </c>
      <c r="H939">
        <v>0.1</v>
      </c>
      <c r="I939">
        <v>115</v>
      </c>
      <c r="J939" t="s">
        <v>36</v>
      </c>
    </row>
    <row r="940" spans="1:10" x14ac:dyDescent="0.45">
      <c r="A940" t="s">
        <v>1001</v>
      </c>
      <c r="B940" t="s">
        <v>723</v>
      </c>
      <c r="C940" t="s">
        <v>31</v>
      </c>
      <c r="D940" t="s">
        <v>32</v>
      </c>
      <c r="E940">
        <v>12</v>
      </c>
      <c r="F940">
        <v>16</v>
      </c>
      <c r="G940">
        <v>192</v>
      </c>
      <c r="H940">
        <v>0.04</v>
      </c>
      <c r="I940">
        <v>7.68</v>
      </c>
      <c r="J940" t="s">
        <v>38</v>
      </c>
    </row>
    <row r="941" spans="1:10" x14ac:dyDescent="0.45">
      <c r="A941" t="s">
        <v>1002</v>
      </c>
      <c r="B941" t="s">
        <v>723</v>
      </c>
      <c r="C941" t="s">
        <v>16</v>
      </c>
      <c r="D941" t="s">
        <v>28</v>
      </c>
      <c r="E941">
        <v>6</v>
      </c>
      <c r="F941">
        <v>40</v>
      </c>
      <c r="G941">
        <v>240</v>
      </c>
      <c r="H941">
        <v>7.0000000000000007E-2</v>
      </c>
      <c r="I941">
        <v>16.8</v>
      </c>
      <c r="J941" t="s">
        <v>40</v>
      </c>
    </row>
    <row r="942" spans="1:10" x14ac:dyDescent="0.45">
      <c r="A942" t="s">
        <v>1003</v>
      </c>
      <c r="B942" t="s">
        <v>723</v>
      </c>
      <c r="C942" t="s">
        <v>31</v>
      </c>
      <c r="D942" t="s">
        <v>32</v>
      </c>
      <c r="E942">
        <v>15</v>
      </c>
      <c r="F942">
        <v>16</v>
      </c>
      <c r="G942">
        <v>240</v>
      </c>
      <c r="H942">
        <v>0.01</v>
      </c>
      <c r="I942">
        <v>2.4</v>
      </c>
      <c r="J942" t="s">
        <v>42</v>
      </c>
    </row>
    <row r="943" spans="1:10" x14ac:dyDescent="0.45">
      <c r="A943" t="s">
        <v>1004</v>
      </c>
      <c r="B943" t="s">
        <v>11</v>
      </c>
      <c r="C943" t="s">
        <v>35</v>
      </c>
      <c r="D943" t="s">
        <v>32</v>
      </c>
      <c r="E943">
        <v>13</v>
      </c>
      <c r="F943">
        <v>150</v>
      </c>
      <c r="G943">
        <v>1950</v>
      </c>
      <c r="H943">
        <v>0.11</v>
      </c>
      <c r="I943">
        <v>214.5</v>
      </c>
      <c r="J943" t="s">
        <v>45</v>
      </c>
    </row>
    <row r="944" spans="1:10" x14ac:dyDescent="0.45">
      <c r="A944" t="s">
        <v>1005</v>
      </c>
      <c r="B944" t="s">
        <v>11</v>
      </c>
      <c r="C944" t="s">
        <v>16</v>
      </c>
      <c r="D944" t="s">
        <v>17</v>
      </c>
      <c r="E944">
        <v>8</v>
      </c>
      <c r="F944">
        <v>40</v>
      </c>
      <c r="G944">
        <v>320</v>
      </c>
      <c r="H944">
        <v>0.09</v>
      </c>
      <c r="I944">
        <v>28.799999999999997</v>
      </c>
      <c r="J944" t="s">
        <v>14</v>
      </c>
    </row>
    <row r="945" spans="1:10" x14ac:dyDescent="0.45">
      <c r="A945" t="s">
        <v>1006</v>
      </c>
      <c r="B945" t="s">
        <v>11</v>
      </c>
      <c r="C945" t="s">
        <v>16</v>
      </c>
      <c r="D945" t="s">
        <v>28</v>
      </c>
      <c r="E945">
        <v>7</v>
      </c>
      <c r="F945">
        <v>40</v>
      </c>
      <c r="G945">
        <v>280</v>
      </c>
      <c r="H945">
        <v>7.0000000000000007E-2</v>
      </c>
      <c r="I945">
        <v>19.600000000000001</v>
      </c>
      <c r="J945" t="s">
        <v>18</v>
      </c>
    </row>
    <row r="946" spans="1:10" x14ac:dyDescent="0.45">
      <c r="A946" t="s">
        <v>1007</v>
      </c>
      <c r="B946" t="s">
        <v>11</v>
      </c>
      <c r="C946" t="s">
        <v>16</v>
      </c>
      <c r="D946" t="s">
        <v>17</v>
      </c>
      <c r="E946">
        <v>18</v>
      </c>
      <c r="F946">
        <v>40</v>
      </c>
      <c r="G946">
        <v>720</v>
      </c>
      <c r="H946">
        <v>0.08</v>
      </c>
      <c r="I946">
        <v>57.6</v>
      </c>
      <c r="J946" t="s">
        <v>21</v>
      </c>
    </row>
    <row r="947" spans="1:10" x14ac:dyDescent="0.45">
      <c r="A947" t="s">
        <v>1008</v>
      </c>
      <c r="B947" t="s">
        <v>11</v>
      </c>
      <c r="C947" t="s">
        <v>20</v>
      </c>
      <c r="D947" t="s">
        <v>28</v>
      </c>
      <c r="E947">
        <v>19</v>
      </c>
      <c r="F947">
        <v>230</v>
      </c>
      <c r="G947">
        <v>4370</v>
      </c>
      <c r="H947">
        <v>0.06</v>
      </c>
      <c r="I947">
        <v>262.2</v>
      </c>
      <c r="J947" t="s">
        <v>23</v>
      </c>
    </row>
    <row r="948" spans="1:10" x14ac:dyDescent="0.45">
      <c r="A948" t="s">
        <v>1009</v>
      </c>
      <c r="B948" t="s">
        <v>11</v>
      </c>
      <c r="C948" t="s">
        <v>35</v>
      </c>
      <c r="D948" t="s">
        <v>13</v>
      </c>
      <c r="E948">
        <v>4</v>
      </c>
      <c r="F948">
        <v>150</v>
      </c>
      <c r="G948">
        <v>600</v>
      </c>
      <c r="H948">
        <v>0.1</v>
      </c>
      <c r="I948">
        <v>60</v>
      </c>
      <c r="J948" t="s">
        <v>26</v>
      </c>
    </row>
    <row r="949" spans="1:10" x14ac:dyDescent="0.45">
      <c r="A949" t="s">
        <v>1010</v>
      </c>
      <c r="B949" t="s">
        <v>44</v>
      </c>
      <c r="C949" t="s">
        <v>12</v>
      </c>
      <c r="D949" t="s">
        <v>32</v>
      </c>
      <c r="E949">
        <v>9</v>
      </c>
      <c r="F949">
        <v>80</v>
      </c>
      <c r="G949">
        <v>720</v>
      </c>
      <c r="H949">
        <v>0.06</v>
      </c>
      <c r="I949">
        <v>43.199999999999996</v>
      </c>
      <c r="J949" t="s">
        <v>29</v>
      </c>
    </row>
    <row r="950" spans="1:10" x14ac:dyDescent="0.45">
      <c r="A950" t="s">
        <v>1011</v>
      </c>
      <c r="B950" t="s">
        <v>44</v>
      </c>
      <c r="C950" t="s">
        <v>12</v>
      </c>
      <c r="D950" t="s">
        <v>25</v>
      </c>
      <c r="E950">
        <v>16</v>
      </c>
      <c r="F950">
        <v>80</v>
      </c>
      <c r="G950">
        <v>1280</v>
      </c>
      <c r="H950">
        <v>0.02</v>
      </c>
      <c r="I950">
        <v>25.6</v>
      </c>
      <c r="J950" t="s">
        <v>18</v>
      </c>
    </row>
    <row r="951" spans="1:10" x14ac:dyDescent="0.45">
      <c r="A951" t="s">
        <v>1012</v>
      </c>
      <c r="B951" t="s">
        <v>44</v>
      </c>
      <c r="C951" t="s">
        <v>20</v>
      </c>
      <c r="D951" t="s">
        <v>17</v>
      </c>
      <c r="E951">
        <v>15</v>
      </c>
      <c r="F951">
        <v>230</v>
      </c>
      <c r="G951">
        <v>3450</v>
      </c>
      <c r="H951">
        <v>0.09</v>
      </c>
      <c r="I951">
        <v>310.5</v>
      </c>
      <c r="J951" t="s">
        <v>21</v>
      </c>
    </row>
    <row r="952" spans="1:10" x14ac:dyDescent="0.45">
      <c r="A952" t="s">
        <v>1013</v>
      </c>
      <c r="B952" t="s">
        <v>44</v>
      </c>
      <c r="C952" t="s">
        <v>31</v>
      </c>
      <c r="D952" t="s">
        <v>32</v>
      </c>
      <c r="E952">
        <v>15</v>
      </c>
      <c r="F952">
        <v>16</v>
      </c>
      <c r="G952">
        <v>240</v>
      </c>
      <c r="H952">
        <v>0.01</v>
      </c>
      <c r="I952">
        <v>2.4</v>
      </c>
      <c r="J952" t="s">
        <v>23</v>
      </c>
    </row>
    <row r="953" spans="1:10" x14ac:dyDescent="0.45">
      <c r="A953" t="s">
        <v>1014</v>
      </c>
      <c r="B953" t="s">
        <v>44</v>
      </c>
      <c r="C953" t="s">
        <v>20</v>
      </c>
      <c r="D953" t="s">
        <v>13</v>
      </c>
      <c r="E953">
        <v>7</v>
      </c>
      <c r="F953">
        <v>230</v>
      </c>
      <c r="G953">
        <v>1610</v>
      </c>
      <c r="H953">
        <v>0.02</v>
      </c>
      <c r="I953">
        <v>32.200000000000003</v>
      </c>
      <c r="J953" t="s">
        <v>26</v>
      </c>
    </row>
    <row r="954" spans="1:10" x14ac:dyDescent="0.45">
      <c r="A954" t="s">
        <v>1015</v>
      </c>
      <c r="B954" t="s">
        <v>44</v>
      </c>
      <c r="C954" t="s">
        <v>31</v>
      </c>
      <c r="D954" t="s">
        <v>25</v>
      </c>
      <c r="E954">
        <v>23</v>
      </c>
      <c r="F954">
        <v>16</v>
      </c>
      <c r="G954">
        <v>368</v>
      </c>
      <c r="H954">
        <v>0.11</v>
      </c>
      <c r="I954">
        <v>40.479999999999997</v>
      </c>
      <c r="J954" t="s">
        <v>29</v>
      </c>
    </row>
    <row r="955" spans="1:10" x14ac:dyDescent="0.45">
      <c r="A955" t="s">
        <v>1016</v>
      </c>
      <c r="B955" t="s">
        <v>44</v>
      </c>
      <c r="C955" t="s">
        <v>16</v>
      </c>
      <c r="D955" t="s">
        <v>32</v>
      </c>
      <c r="E955">
        <v>20</v>
      </c>
      <c r="F955">
        <v>40</v>
      </c>
      <c r="G955">
        <v>800</v>
      </c>
      <c r="H955">
        <v>0.05</v>
      </c>
      <c r="I955">
        <v>40</v>
      </c>
      <c r="J955" t="s">
        <v>33</v>
      </c>
    </row>
    <row r="956" spans="1:10" x14ac:dyDescent="0.45">
      <c r="A956" t="s">
        <v>1017</v>
      </c>
      <c r="B956" t="s">
        <v>53</v>
      </c>
      <c r="C956" t="s">
        <v>20</v>
      </c>
      <c r="D956" t="s">
        <v>17</v>
      </c>
      <c r="E956">
        <v>9</v>
      </c>
      <c r="F956">
        <v>230</v>
      </c>
      <c r="G956">
        <v>2070</v>
      </c>
      <c r="H956">
        <v>0.03</v>
      </c>
      <c r="I956">
        <v>62.099999999999994</v>
      </c>
      <c r="J956" t="s">
        <v>36</v>
      </c>
    </row>
    <row r="957" spans="1:10" x14ac:dyDescent="0.45">
      <c r="A957" t="s">
        <v>1018</v>
      </c>
      <c r="B957" t="s">
        <v>53</v>
      </c>
      <c r="C957" t="s">
        <v>16</v>
      </c>
      <c r="D957" t="s">
        <v>28</v>
      </c>
      <c r="E957">
        <v>23</v>
      </c>
      <c r="F957">
        <v>40</v>
      </c>
      <c r="G957">
        <v>920</v>
      </c>
      <c r="H957">
        <v>0.06</v>
      </c>
      <c r="I957">
        <v>55.199999999999996</v>
      </c>
      <c r="J957" t="s">
        <v>38</v>
      </c>
    </row>
    <row r="958" spans="1:10" x14ac:dyDescent="0.45">
      <c r="A958" t="s">
        <v>1019</v>
      </c>
      <c r="B958" t="s">
        <v>53</v>
      </c>
      <c r="C958" t="s">
        <v>16</v>
      </c>
      <c r="D958" t="s">
        <v>28</v>
      </c>
      <c r="E958">
        <v>4</v>
      </c>
      <c r="F958">
        <v>40</v>
      </c>
      <c r="G958">
        <v>160</v>
      </c>
      <c r="H958">
        <v>0.05</v>
      </c>
      <c r="I958">
        <v>8</v>
      </c>
      <c r="J958" t="s">
        <v>40</v>
      </c>
    </row>
    <row r="959" spans="1:10" x14ac:dyDescent="0.45">
      <c r="A959" t="s">
        <v>1020</v>
      </c>
      <c r="B959" t="s">
        <v>53</v>
      </c>
      <c r="C959" t="s">
        <v>35</v>
      </c>
      <c r="D959" t="s">
        <v>13</v>
      </c>
      <c r="E959">
        <v>13</v>
      </c>
      <c r="F959">
        <v>150</v>
      </c>
      <c r="G959">
        <v>1950</v>
      </c>
      <c r="H959">
        <v>0.05</v>
      </c>
      <c r="I959">
        <v>97.5</v>
      </c>
      <c r="J959" t="s">
        <v>42</v>
      </c>
    </row>
    <row r="960" spans="1:10" x14ac:dyDescent="0.45">
      <c r="A960" t="s">
        <v>1021</v>
      </c>
      <c r="B960" t="s">
        <v>53</v>
      </c>
      <c r="C960" t="s">
        <v>20</v>
      </c>
      <c r="D960" t="s">
        <v>17</v>
      </c>
      <c r="E960">
        <v>7</v>
      </c>
      <c r="F960">
        <v>230</v>
      </c>
      <c r="G960">
        <v>1610</v>
      </c>
      <c r="H960">
        <v>0.01</v>
      </c>
      <c r="I960">
        <v>16.100000000000001</v>
      </c>
      <c r="J960" t="s">
        <v>45</v>
      </c>
    </row>
    <row r="961" spans="1:10" x14ac:dyDescent="0.45">
      <c r="A961" t="s">
        <v>1022</v>
      </c>
      <c r="B961" t="s">
        <v>53</v>
      </c>
      <c r="C961" t="s">
        <v>20</v>
      </c>
      <c r="D961" t="s">
        <v>17</v>
      </c>
      <c r="E961">
        <v>7</v>
      </c>
      <c r="F961">
        <v>230</v>
      </c>
      <c r="G961">
        <v>1610</v>
      </c>
      <c r="H961">
        <v>0.08</v>
      </c>
      <c r="I961">
        <v>128.80000000000001</v>
      </c>
      <c r="J961" t="s">
        <v>14</v>
      </c>
    </row>
    <row r="962" spans="1:10" x14ac:dyDescent="0.45">
      <c r="A962" t="s">
        <v>1023</v>
      </c>
      <c r="B962" t="s">
        <v>53</v>
      </c>
      <c r="C962" t="s">
        <v>20</v>
      </c>
      <c r="D962" t="s">
        <v>25</v>
      </c>
      <c r="E962">
        <v>15</v>
      </c>
      <c r="F962">
        <v>230</v>
      </c>
      <c r="G962">
        <v>3450</v>
      </c>
      <c r="H962">
        <v>0.04</v>
      </c>
      <c r="I962">
        <v>138</v>
      </c>
      <c r="J962" t="s">
        <v>18</v>
      </c>
    </row>
    <row r="963" spans="1:10" x14ac:dyDescent="0.45">
      <c r="A963" t="s">
        <v>1024</v>
      </c>
      <c r="B963" t="s">
        <v>53</v>
      </c>
      <c r="C963" t="s">
        <v>16</v>
      </c>
      <c r="D963" t="s">
        <v>28</v>
      </c>
      <c r="E963">
        <v>15</v>
      </c>
      <c r="F963">
        <v>40</v>
      </c>
      <c r="G963">
        <v>600</v>
      </c>
      <c r="H963">
        <v>0.03</v>
      </c>
      <c r="I963">
        <v>18</v>
      </c>
      <c r="J963" t="s">
        <v>21</v>
      </c>
    </row>
    <row r="964" spans="1:10" x14ac:dyDescent="0.45">
      <c r="A964" t="s">
        <v>1025</v>
      </c>
      <c r="B964" t="s">
        <v>53</v>
      </c>
      <c r="C964" t="s">
        <v>16</v>
      </c>
      <c r="D964" t="s">
        <v>25</v>
      </c>
      <c r="E964">
        <v>2</v>
      </c>
      <c r="F964">
        <v>40</v>
      </c>
      <c r="G964">
        <v>80</v>
      </c>
      <c r="H964">
        <v>0.03</v>
      </c>
      <c r="I964">
        <v>2.4</v>
      </c>
      <c r="J964" t="s">
        <v>23</v>
      </c>
    </row>
    <row r="965" spans="1:10" x14ac:dyDescent="0.45">
      <c r="A965" t="s">
        <v>1026</v>
      </c>
      <c r="B965" t="s">
        <v>53</v>
      </c>
      <c r="C965" t="s">
        <v>35</v>
      </c>
      <c r="D965" t="s">
        <v>25</v>
      </c>
      <c r="E965">
        <v>2</v>
      </c>
      <c r="F965">
        <v>150</v>
      </c>
      <c r="G965">
        <v>300</v>
      </c>
      <c r="H965">
        <v>0.02</v>
      </c>
      <c r="I965">
        <v>6</v>
      </c>
      <c r="J965" t="s">
        <v>26</v>
      </c>
    </row>
    <row r="966" spans="1:10" x14ac:dyDescent="0.45">
      <c r="A966" t="s">
        <v>1027</v>
      </c>
      <c r="B966" t="s">
        <v>67</v>
      </c>
      <c r="C966" t="s">
        <v>20</v>
      </c>
      <c r="D966" t="s">
        <v>13</v>
      </c>
      <c r="E966">
        <v>3</v>
      </c>
      <c r="F966">
        <v>230</v>
      </c>
      <c r="G966">
        <v>690</v>
      </c>
      <c r="H966">
        <v>0.11</v>
      </c>
      <c r="I966">
        <v>75.900000000000006</v>
      </c>
      <c r="J966" t="s">
        <v>29</v>
      </c>
    </row>
    <row r="967" spans="1:10" x14ac:dyDescent="0.45">
      <c r="A967" t="s">
        <v>1028</v>
      </c>
      <c r="B967" t="s">
        <v>67</v>
      </c>
      <c r="C967" t="s">
        <v>16</v>
      </c>
      <c r="D967" t="s">
        <v>25</v>
      </c>
      <c r="E967">
        <v>4</v>
      </c>
      <c r="F967">
        <v>40</v>
      </c>
      <c r="G967">
        <v>160</v>
      </c>
      <c r="H967">
        <v>0.06</v>
      </c>
      <c r="I967">
        <v>9.6</v>
      </c>
      <c r="J967" t="s">
        <v>18</v>
      </c>
    </row>
    <row r="968" spans="1:10" x14ac:dyDescent="0.45">
      <c r="A968" t="s">
        <v>1029</v>
      </c>
      <c r="B968" t="s">
        <v>67</v>
      </c>
      <c r="C968" t="s">
        <v>16</v>
      </c>
      <c r="D968" t="s">
        <v>28</v>
      </c>
      <c r="E968">
        <v>13</v>
      </c>
      <c r="F968">
        <v>40</v>
      </c>
      <c r="G968">
        <v>520</v>
      </c>
      <c r="H968">
        <v>0.06</v>
      </c>
      <c r="I968">
        <v>31.2</v>
      </c>
      <c r="J968" t="s">
        <v>21</v>
      </c>
    </row>
    <row r="969" spans="1:10" x14ac:dyDescent="0.45">
      <c r="A969" t="s">
        <v>1030</v>
      </c>
      <c r="B969" t="s">
        <v>67</v>
      </c>
      <c r="C969" t="s">
        <v>31</v>
      </c>
      <c r="D969" t="s">
        <v>28</v>
      </c>
      <c r="E969">
        <v>15</v>
      </c>
      <c r="F969">
        <v>16</v>
      </c>
      <c r="G969">
        <v>240</v>
      </c>
      <c r="H969">
        <v>0.12</v>
      </c>
      <c r="I969">
        <v>28.799999999999997</v>
      </c>
      <c r="J969" t="s">
        <v>23</v>
      </c>
    </row>
    <row r="970" spans="1:10" x14ac:dyDescent="0.45">
      <c r="A970" t="s">
        <v>1031</v>
      </c>
      <c r="B970" t="s">
        <v>67</v>
      </c>
      <c r="C970" t="s">
        <v>12</v>
      </c>
      <c r="D970" t="s">
        <v>13</v>
      </c>
      <c r="E970">
        <v>14</v>
      </c>
      <c r="F970">
        <v>80</v>
      </c>
      <c r="G970">
        <v>1120</v>
      </c>
      <c r="H970">
        <v>0.08</v>
      </c>
      <c r="I970">
        <v>89.600000000000009</v>
      </c>
      <c r="J970" t="s">
        <v>26</v>
      </c>
    </row>
    <row r="971" spans="1:10" x14ac:dyDescent="0.45">
      <c r="A971" t="s">
        <v>1032</v>
      </c>
      <c r="B971" t="s">
        <v>67</v>
      </c>
      <c r="C971" t="s">
        <v>31</v>
      </c>
      <c r="D971" t="s">
        <v>13</v>
      </c>
      <c r="E971">
        <v>7</v>
      </c>
      <c r="F971">
        <v>16</v>
      </c>
      <c r="G971">
        <v>112</v>
      </c>
      <c r="H971">
        <v>0.08</v>
      </c>
      <c r="I971">
        <v>8.9600000000000009</v>
      </c>
      <c r="J971" t="s">
        <v>29</v>
      </c>
    </row>
    <row r="972" spans="1:10" x14ac:dyDescent="0.45">
      <c r="A972" t="s">
        <v>1033</v>
      </c>
      <c r="B972" t="s">
        <v>67</v>
      </c>
      <c r="C972" t="s">
        <v>35</v>
      </c>
      <c r="D972" t="s">
        <v>17</v>
      </c>
      <c r="E972">
        <v>13</v>
      </c>
      <c r="F972">
        <v>150</v>
      </c>
      <c r="G972">
        <v>1950</v>
      </c>
      <c r="H972">
        <v>0.02</v>
      </c>
      <c r="I972">
        <v>39</v>
      </c>
      <c r="J972" t="s">
        <v>33</v>
      </c>
    </row>
    <row r="973" spans="1:10" x14ac:dyDescent="0.45">
      <c r="A973" t="s">
        <v>1034</v>
      </c>
      <c r="B973" t="s">
        <v>67</v>
      </c>
      <c r="C973" t="s">
        <v>35</v>
      </c>
      <c r="D973" t="s">
        <v>25</v>
      </c>
      <c r="E973">
        <v>9</v>
      </c>
      <c r="F973">
        <v>150</v>
      </c>
      <c r="G973">
        <v>1350</v>
      </c>
      <c r="H973">
        <v>0.02</v>
      </c>
      <c r="I973">
        <v>27</v>
      </c>
      <c r="J973" t="s">
        <v>36</v>
      </c>
    </row>
    <row r="974" spans="1:10" x14ac:dyDescent="0.45">
      <c r="A974" t="s">
        <v>1035</v>
      </c>
      <c r="B974" t="s">
        <v>67</v>
      </c>
      <c r="C974" t="s">
        <v>16</v>
      </c>
      <c r="D974" t="s">
        <v>13</v>
      </c>
      <c r="E974">
        <v>9</v>
      </c>
      <c r="F974">
        <v>40</v>
      </c>
      <c r="G974">
        <v>360</v>
      </c>
      <c r="H974">
        <v>0.01</v>
      </c>
      <c r="I974">
        <v>3.6</v>
      </c>
      <c r="J974" t="s">
        <v>38</v>
      </c>
    </row>
    <row r="975" spans="1:10" x14ac:dyDescent="0.45">
      <c r="A975" t="s">
        <v>1036</v>
      </c>
      <c r="B975" t="s">
        <v>77</v>
      </c>
      <c r="C975" t="s">
        <v>12</v>
      </c>
      <c r="D975" t="s">
        <v>32</v>
      </c>
      <c r="E975">
        <v>9</v>
      </c>
      <c r="F975">
        <v>80</v>
      </c>
      <c r="G975">
        <v>720</v>
      </c>
      <c r="H975">
        <v>7.0000000000000007E-2</v>
      </c>
      <c r="I975">
        <v>50.400000000000006</v>
      </c>
      <c r="J975" t="s">
        <v>40</v>
      </c>
    </row>
    <row r="976" spans="1:10" x14ac:dyDescent="0.45">
      <c r="A976" t="s">
        <v>1037</v>
      </c>
      <c r="B976" t="s">
        <v>77</v>
      </c>
      <c r="C976" t="s">
        <v>20</v>
      </c>
      <c r="D976" t="s">
        <v>17</v>
      </c>
      <c r="E976">
        <v>22</v>
      </c>
      <c r="F976">
        <v>230</v>
      </c>
      <c r="G976">
        <v>5060</v>
      </c>
      <c r="H976">
        <v>0.11</v>
      </c>
      <c r="I976">
        <v>556.6</v>
      </c>
      <c r="J976" t="s">
        <v>42</v>
      </c>
    </row>
    <row r="977" spans="1:10" x14ac:dyDescent="0.45">
      <c r="A977" t="s">
        <v>1038</v>
      </c>
      <c r="B977" t="s">
        <v>77</v>
      </c>
      <c r="C977" t="s">
        <v>35</v>
      </c>
      <c r="D977" t="s">
        <v>17</v>
      </c>
      <c r="E977">
        <v>15</v>
      </c>
      <c r="F977">
        <v>150</v>
      </c>
      <c r="G977">
        <v>2250</v>
      </c>
      <c r="H977">
        <v>0.02</v>
      </c>
      <c r="I977">
        <v>45</v>
      </c>
      <c r="J977" t="s">
        <v>45</v>
      </c>
    </row>
    <row r="978" spans="1:10" x14ac:dyDescent="0.45">
      <c r="A978" t="s">
        <v>1039</v>
      </c>
      <c r="B978" t="s">
        <v>77</v>
      </c>
      <c r="C978" t="s">
        <v>20</v>
      </c>
      <c r="D978" t="s">
        <v>32</v>
      </c>
      <c r="E978">
        <v>5</v>
      </c>
      <c r="F978">
        <v>230</v>
      </c>
      <c r="G978">
        <v>1150</v>
      </c>
      <c r="H978">
        <v>0.12</v>
      </c>
      <c r="I978">
        <v>138</v>
      </c>
      <c r="J978" t="s">
        <v>14</v>
      </c>
    </row>
    <row r="979" spans="1:10" x14ac:dyDescent="0.45">
      <c r="A979" t="s">
        <v>1040</v>
      </c>
      <c r="B979" t="s">
        <v>77</v>
      </c>
      <c r="C979" t="s">
        <v>16</v>
      </c>
      <c r="D979" t="s">
        <v>25</v>
      </c>
      <c r="E979">
        <v>20</v>
      </c>
      <c r="F979">
        <v>40</v>
      </c>
      <c r="G979">
        <v>800</v>
      </c>
      <c r="H979">
        <v>0.01</v>
      </c>
      <c r="I979">
        <v>8</v>
      </c>
      <c r="J979" t="s">
        <v>18</v>
      </c>
    </row>
    <row r="980" spans="1:10" x14ac:dyDescent="0.45">
      <c r="A980" t="s">
        <v>1041</v>
      </c>
      <c r="B980" t="s">
        <v>77</v>
      </c>
      <c r="C980" t="s">
        <v>16</v>
      </c>
      <c r="D980" t="s">
        <v>13</v>
      </c>
      <c r="E980">
        <v>23</v>
      </c>
      <c r="F980">
        <v>40</v>
      </c>
      <c r="G980">
        <v>920</v>
      </c>
      <c r="H980">
        <v>0.03</v>
      </c>
      <c r="I980">
        <v>27.599999999999998</v>
      </c>
      <c r="J980" t="s">
        <v>21</v>
      </c>
    </row>
    <row r="981" spans="1:10" x14ac:dyDescent="0.45">
      <c r="A981" t="s">
        <v>1042</v>
      </c>
      <c r="B981" t="s">
        <v>77</v>
      </c>
      <c r="C981" t="s">
        <v>12</v>
      </c>
      <c r="D981" t="s">
        <v>32</v>
      </c>
      <c r="E981">
        <v>16</v>
      </c>
      <c r="F981">
        <v>80</v>
      </c>
      <c r="G981">
        <v>1280</v>
      </c>
      <c r="H981">
        <v>0.05</v>
      </c>
      <c r="I981">
        <v>64</v>
      </c>
      <c r="J981" t="s">
        <v>23</v>
      </c>
    </row>
    <row r="982" spans="1:10" x14ac:dyDescent="0.45">
      <c r="A982" t="s">
        <v>1043</v>
      </c>
      <c r="B982" t="s">
        <v>77</v>
      </c>
      <c r="C982" t="s">
        <v>20</v>
      </c>
      <c r="D982" t="s">
        <v>25</v>
      </c>
      <c r="E982">
        <v>18</v>
      </c>
      <c r="F982">
        <v>230</v>
      </c>
      <c r="G982">
        <v>4140</v>
      </c>
      <c r="H982">
        <v>0.01</v>
      </c>
      <c r="I982">
        <v>41.4</v>
      </c>
      <c r="J982" t="s">
        <v>26</v>
      </c>
    </row>
    <row r="983" spans="1:10" x14ac:dyDescent="0.45">
      <c r="A983" t="s">
        <v>1044</v>
      </c>
      <c r="B983" t="s">
        <v>77</v>
      </c>
      <c r="C983" t="s">
        <v>16</v>
      </c>
      <c r="D983" t="s">
        <v>32</v>
      </c>
      <c r="E983">
        <v>23</v>
      </c>
      <c r="F983">
        <v>40</v>
      </c>
      <c r="G983">
        <v>920</v>
      </c>
      <c r="H983">
        <v>0.05</v>
      </c>
      <c r="I983">
        <v>46</v>
      </c>
      <c r="J983" t="s">
        <v>29</v>
      </c>
    </row>
    <row r="984" spans="1:10" x14ac:dyDescent="0.45">
      <c r="A984" t="s">
        <v>1045</v>
      </c>
      <c r="B984" t="s">
        <v>77</v>
      </c>
      <c r="C984" t="s">
        <v>31</v>
      </c>
      <c r="D984" t="s">
        <v>28</v>
      </c>
      <c r="E984">
        <v>5</v>
      </c>
      <c r="F984">
        <v>16</v>
      </c>
      <c r="G984">
        <v>80</v>
      </c>
      <c r="H984">
        <v>0.09</v>
      </c>
      <c r="I984">
        <v>7.1999999999999993</v>
      </c>
      <c r="J984" t="s">
        <v>18</v>
      </c>
    </row>
    <row r="985" spans="1:10" x14ac:dyDescent="0.45">
      <c r="A985" t="s">
        <v>1046</v>
      </c>
      <c r="B985" t="s">
        <v>77</v>
      </c>
      <c r="C985" t="s">
        <v>16</v>
      </c>
      <c r="D985" t="s">
        <v>13</v>
      </c>
      <c r="E985">
        <v>22</v>
      </c>
      <c r="F985">
        <v>40</v>
      </c>
      <c r="G985">
        <v>880</v>
      </c>
      <c r="H985">
        <v>0.02</v>
      </c>
      <c r="I985">
        <v>17.600000000000001</v>
      </c>
      <c r="J985" t="s">
        <v>21</v>
      </c>
    </row>
    <row r="986" spans="1:10" x14ac:dyDescent="0.45">
      <c r="A986" t="s">
        <v>1047</v>
      </c>
      <c r="B986" t="s">
        <v>86</v>
      </c>
      <c r="C986" t="s">
        <v>35</v>
      </c>
      <c r="D986" t="s">
        <v>13</v>
      </c>
      <c r="E986">
        <v>23</v>
      </c>
      <c r="F986">
        <v>150</v>
      </c>
      <c r="G986">
        <v>3450</v>
      </c>
      <c r="H986">
        <v>0.1</v>
      </c>
      <c r="I986">
        <v>345</v>
      </c>
      <c r="J986" t="s">
        <v>23</v>
      </c>
    </row>
    <row r="987" spans="1:10" x14ac:dyDescent="0.45">
      <c r="A987" t="s">
        <v>1048</v>
      </c>
      <c r="B987" t="s">
        <v>86</v>
      </c>
      <c r="C987" t="s">
        <v>20</v>
      </c>
      <c r="D987" t="s">
        <v>17</v>
      </c>
      <c r="E987">
        <v>22</v>
      </c>
      <c r="F987">
        <v>230</v>
      </c>
      <c r="G987">
        <v>5060</v>
      </c>
      <c r="H987">
        <v>0.04</v>
      </c>
      <c r="I987">
        <v>202.4</v>
      </c>
      <c r="J987" t="s">
        <v>26</v>
      </c>
    </row>
    <row r="988" spans="1:10" x14ac:dyDescent="0.45">
      <c r="A988" t="s">
        <v>1049</v>
      </c>
      <c r="B988" t="s">
        <v>86</v>
      </c>
      <c r="C988" t="s">
        <v>12</v>
      </c>
      <c r="D988" t="s">
        <v>28</v>
      </c>
      <c r="E988">
        <v>16</v>
      </c>
      <c r="F988">
        <v>80</v>
      </c>
      <c r="G988">
        <v>1280</v>
      </c>
      <c r="H988">
        <v>7.0000000000000007E-2</v>
      </c>
      <c r="I988">
        <v>89.600000000000009</v>
      </c>
      <c r="J988" t="s">
        <v>29</v>
      </c>
    </row>
    <row r="989" spans="1:10" x14ac:dyDescent="0.45">
      <c r="A989" t="s">
        <v>1050</v>
      </c>
      <c r="B989" t="s">
        <v>86</v>
      </c>
      <c r="C989" t="s">
        <v>35</v>
      </c>
      <c r="D989" t="s">
        <v>25</v>
      </c>
      <c r="E989">
        <v>22</v>
      </c>
      <c r="F989">
        <v>150</v>
      </c>
      <c r="G989">
        <v>3300</v>
      </c>
      <c r="H989">
        <v>0.09</v>
      </c>
      <c r="I989">
        <v>297</v>
      </c>
      <c r="J989" t="s">
        <v>33</v>
      </c>
    </row>
    <row r="990" spans="1:10" x14ac:dyDescent="0.45">
      <c r="A990" t="s">
        <v>1051</v>
      </c>
      <c r="B990" t="s">
        <v>86</v>
      </c>
      <c r="C990" t="s">
        <v>12</v>
      </c>
      <c r="D990" t="s">
        <v>25</v>
      </c>
      <c r="E990">
        <v>5</v>
      </c>
      <c r="F990">
        <v>80</v>
      </c>
      <c r="G990">
        <v>400</v>
      </c>
      <c r="H990">
        <v>0.09</v>
      </c>
      <c r="I990">
        <v>36</v>
      </c>
      <c r="J990" t="s">
        <v>36</v>
      </c>
    </row>
    <row r="991" spans="1:10" x14ac:dyDescent="0.45">
      <c r="A991" t="s">
        <v>1052</v>
      </c>
      <c r="B991" t="s">
        <v>86</v>
      </c>
      <c r="C991" t="s">
        <v>12</v>
      </c>
      <c r="D991" t="s">
        <v>28</v>
      </c>
      <c r="E991">
        <v>16</v>
      </c>
      <c r="F991">
        <v>80</v>
      </c>
      <c r="G991">
        <v>1280</v>
      </c>
      <c r="H991">
        <v>0.1</v>
      </c>
      <c r="I991">
        <v>128</v>
      </c>
      <c r="J991" t="s">
        <v>38</v>
      </c>
    </row>
    <row r="992" spans="1:10" x14ac:dyDescent="0.45">
      <c r="A992" t="s">
        <v>1053</v>
      </c>
      <c r="B992" t="s">
        <v>86</v>
      </c>
      <c r="C992" t="s">
        <v>35</v>
      </c>
      <c r="D992" t="s">
        <v>17</v>
      </c>
      <c r="E992">
        <v>23</v>
      </c>
      <c r="F992">
        <v>150</v>
      </c>
      <c r="G992">
        <v>3450</v>
      </c>
      <c r="H992">
        <v>0.11</v>
      </c>
      <c r="I992">
        <v>379.5</v>
      </c>
      <c r="J992" t="s">
        <v>40</v>
      </c>
    </row>
    <row r="993" spans="1:10" x14ac:dyDescent="0.45">
      <c r="A993" t="s">
        <v>1054</v>
      </c>
      <c r="B993" t="s">
        <v>86</v>
      </c>
      <c r="C993" t="s">
        <v>31</v>
      </c>
      <c r="D993" t="s">
        <v>17</v>
      </c>
      <c r="E993">
        <v>4</v>
      </c>
      <c r="F993">
        <v>16</v>
      </c>
      <c r="G993">
        <v>64</v>
      </c>
      <c r="H993">
        <v>0.09</v>
      </c>
      <c r="I993">
        <v>5.76</v>
      </c>
      <c r="J993" t="s">
        <v>42</v>
      </c>
    </row>
    <row r="994" spans="1:10" x14ac:dyDescent="0.45">
      <c r="A994" t="s">
        <v>1055</v>
      </c>
      <c r="B994" t="s">
        <v>86</v>
      </c>
      <c r="C994" t="s">
        <v>31</v>
      </c>
      <c r="D994" t="s">
        <v>17</v>
      </c>
      <c r="E994">
        <v>4</v>
      </c>
      <c r="F994">
        <v>16</v>
      </c>
      <c r="G994">
        <v>64</v>
      </c>
      <c r="H994">
        <v>7.0000000000000007E-2</v>
      </c>
      <c r="I994">
        <v>4.4800000000000004</v>
      </c>
      <c r="J994" t="s">
        <v>45</v>
      </c>
    </row>
    <row r="995" spans="1:10" x14ac:dyDescent="0.45">
      <c r="A995" t="s">
        <v>1056</v>
      </c>
      <c r="B995" t="s">
        <v>86</v>
      </c>
      <c r="C995" t="s">
        <v>31</v>
      </c>
      <c r="D995" t="s">
        <v>13</v>
      </c>
      <c r="E995">
        <v>16</v>
      </c>
      <c r="F995">
        <v>16</v>
      </c>
      <c r="G995">
        <v>256</v>
      </c>
      <c r="H995">
        <v>0.03</v>
      </c>
      <c r="I995">
        <v>7.68</v>
      </c>
      <c r="J995" t="s">
        <v>14</v>
      </c>
    </row>
    <row r="996" spans="1:10" x14ac:dyDescent="0.45">
      <c r="A996" t="s">
        <v>1057</v>
      </c>
      <c r="B996" t="s">
        <v>86</v>
      </c>
      <c r="C996" t="s">
        <v>16</v>
      </c>
      <c r="D996" t="s">
        <v>28</v>
      </c>
      <c r="E996">
        <v>18</v>
      </c>
      <c r="F996">
        <v>40</v>
      </c>
      <c r="G996">
        <v>720</v>
      </c>
      <c r="H996">
        <v>0.04</v>
      </c>
      <c r="I996">
        <v>28.8</v>
      </c>
      <c r="J996" t="s">
        <v>18</v>
      </c>
    </row>
    <row r="997" spans="1:10" x14ac:dyDescent="0.45">
      <c r="A997" t="s">
        <v>1058</v>
      </c>
      <c r="B997" t="s">
        <v>86</v>
      </c>
      <c r="C997" t="s">
        <v>12</v>
      </c>
      <c r="D997" t="s">
        <v>28</v>
      </c>
      <c r="E997">
        <v>21</v>
      </c>
      <c r="F997">
        <v>80</v>
      </c>
      <c r="G997">
        <v>1680</v>
      </c>
      <c r="H997">
        <v>0.02</v>
      </c>
      <c r="I997">
        <v>33.6</v>
      </c>
      <c r="J997" t="s">
        <v>21</v>
      </c>
    </row>
    <row r="998" spans="1:10" x14ac:dyDescent="0.45">
      <c r="A998" t="s">
        <v>1059</v>
      </c>
      <c r="B998" t="s">
        <v>86</v>
      </c>
      <c r="C998" t="s">
        <v>12</v>
      </c>
      <c r="D998" t="s">
        <v>32</v>
      </c>
      <c r="E998">
        <v>10</v>
      </c>
      <c r="F998">
        <v>80</v>
      </c>
      <c r="G998">
        <v>800</v>
      </c>
      <c r="H998">
        <v>0.06</v>
      </c>
      <c r="I998">
        <v>48</v>
      </c>
      <c r="J998" t="s">
        <v>23</v>
      </c>
    </row>
    <row r="999" spans="1:10" x14ac:dyDescent="0.45">
      <c r="A999" t="s">
        <v>1060</v>
      </c>
      <c r="B999" t="s">
        <v>86</v>
      </c>
      <c r="C999" t="s">
        <v>20</v>
      </c>
      <c r="D999" t="s">
        <v>25</v>
      </c>
      <c r="E999">
        <v>7</v>
      </c>
      <c r="F999">
        <v>230</v>
      </c>
      <c r="G999">
        <v>1610</v>
      </c>
      <c r="H999">
        <v>0.01</v>
      </c>
      <c r="I999">
        <v>16.100000000000001</v>
      </c>
      <c r="J999" t="s">
        <v>26</v>
      </c>
    </row>
    <row r="1000" spans="1:10" x14ac:dyDescent="0.45">
      <c r="A1000" t="s">
        <v>1061</v>
      </c>
      <c r="B1000" t="s">
        <v>102</v>
      </c>
      <c r="C1000" t="s">
        <v>31</v>
      </c>
      <c r="D1000" t="s">
        <v>32</v>
      </c>
      <c r="E1000">
        <v>11</v>
      </c>
      <c r="F1000">
        <v>16</v>
      </c>
      <c r="G1000">
        <v>176</v>
      </c>
      <c r="H1000">
        <v>0.12</v>
      </c>
      <c r="I1000">
        <v>21.119999999999997</v>
      </c>
      <c r="J1000" t="s">
        <v>29</v>
      </c>
    </row>
    <row r="1001" spans="1:10" x14ac:dyDescent="0.45">
      <c r="A1001" t="s">
        <v>1062</v>
      </c>
      <c r="B1001" t="s">
        <v>102</v>
      </c>
      <c r="C1001" t="s">
        <v>12</v>
      </c>
      <c r="D1001" t="s">
        <v>28</v>
      </c>
      <c r="E1001">
        <v>10</v>
      </c>
      <c r="F1001">
        <v>80</v>
      </c>
      <c r="G1001">
        <v>800</v>
      </c>
      <c r="H1001">
        <v>0.1</v>
      </c>
      <c r="I1001">
        <v>80</v>
      </c>
      <c r="J1001" t="s">
        <v>18</v>
      </c>
    </row>
    <row r="1002" spans="1:10" x14ac:dyDescent="0.45">
      <c r="A1002" t="s">
        <v>1063</v>
      </c>
      <c r="B1002" t="s">
        <v>102</v>
      </c>
      <c r="C1002" t="s">
        <v>16</v>
      </c>
      <c r="D1002" t="s">
        <v>17</v>
      </c>
      <c r="E1002">
        <v>23</v>
      </c>
      <c r="F1002">
        <v>40</v>
      </c>
      <c r="G1002">
        <v>920</v>
      </c>
      <c r="H1002">
        <v>0.06</v>
      </c>
      <c r="I1002">
        <v>55.199999999999996</v>
      </c>
      <c r="J1002" t="s">
        <v>21</v>
      </c>
    </row>
    <row r="1003" spans="1:10" x14ac:dyDescent="0.45">
      <c r="A1003" t="s">
        <v>1064</v>
      </c>
      <c r="B1003" t="s">
        <v>102</v>
      </c>
      <c r="C1003" t="s">
        <v>35</v>
      </c>
      <c r="D1003" t="s">
        <v>32</v>
      </c>
      <c r="E1003">
        <v>7</v>
      </c>
      <c r="F1003">
        <v>150</v>
      </c>
      <c r="G1003">
        <v>1050</v>
      </c>
      <c r="H1003">
        <v>0.02</v>
      </c>
      <c r="I1003">
        <v>21</v>
      </c>
      <c r="J1003" t="s">
        <v>23</v>
      </c>
    </row>
    <row r="1004" spans="1:10" x14ac:dyDescent="0.45">
      <c r="A1004" t="s">
        <v>1065</v>
      </c>
      <c r="B1004" t="s">
        <v>102</v>
      </c>
      <c r="C1004" t="s">
        <v>12</v>
      </c>
      <c r="D1004" t="s">
        <v>13</v>
      </c>
      <c r="E1004">
        <v>17</v>
      </c>
      <c r="F1004">
        <v>80</v>
      </c>
      <c r="G1004">
        <v>1360</v>
      </c>
      <c r="H1004">
        <v>7.0000000000000007E-2</v>
      </c>
      <c r="I1004">
        <v>95.2</v>
      </c>
      <c r="J1004" t="s">
        <v>26</v>
      </c>
    </row>
    <row r="1005" spans="1:10" x14ac:dyDescent="0.45">
      <c r="A1005" t="s">
        <v>1066</v>
      </c>
      <c r="B1005" t="s">
        <v>102</v>
      </c>
      <c r="C1005" t="s">
        <v>35</v>
      </c>
      <c r="D1005" t="s">
        <v>17</v>
      </c>
      <c r="E1005">
        <v>20</v>
      </c>
      <c r="F1005">
        <v>150</v>
      </c>
      <c r="G1005">
        <v>3000</v>
      </c>
      <c r="H1005">
        <v>0.09</v>
      </c>
      <c r="I1005">
        <v>270</v>
      </c>
      <c r="J1005" t="s">
        <v>29</v>
      </c>
    </row>
    <row r="1006" spans="1:10" x14ac:dyDescent="0.45">
      <c r="A1006" t="s">
        <v>1067</v>
      </c>
      <c r="B1006" t="s">
        <v>102</v>
      </c>
      <c r="C1006" t="s">
        <v>20</v>
      </c>
      <c r="D1006" t="s">
        <v>28</v>
      </c>
      <c r="E1006">
        <v>23</v>
      </c>
      <c r="F1006">
        <v>230</v>
      </c>
      <c r="G1006">
        <v>5290</v>
      </c>
      <c r="H1006">
        <v>0.06</v>
      </c>
      <c r="I1006">
        <v>317.39999999999998</v>
      </c>
      <c r="J1006" t="s">
        <v>33</v>
      </c>
    </row>
    <row r="1007" spans="1:10" x14ac:dyDescent="0.45">
      <c r="A1007" t="s">
        <v>1068</v>
      </c>
      <c r="B1007" t="s">
        <v>102</v>
      </c>
      <c r="C1007" t="s">
        <v>12</v>
      </c>
      <c r="D1007" t="s">
        <v>17</v>
      </c>
      <c r="E1007">
        <v>16</v>
      </c>
      <c r="F1007">
        <v>80</v>
      </c>
      <c r="G1007">
        <v>1280</v>
      </c>
      <c r="H1007">
        <v>0.04</v>
      </c>
      <c r="I1007">
        <v>51.2</v>
      </c>
      <c r="J1007" t="s">
        <v>36</v>
      </c>
    </row>
    <row r="1008" spans="1:10" x14ac:dyDescent="0.45">
      <c r="A1008" t="s">
        <v>1069</v>
      </c>
      <c r="B1008" t="s">
        <v>102</v>
      </c>
      <c r="C1008" t="s">
        <v>20</v>
      </c>
      <c r="D1008" t="s">
        <v>32</v>
      </c>
      <c r="E1008">
        <v>22</v>
      </c>
      <c r="F1008">
        <v>230</v>
      </c>
      <c r="G1008">
        <v>5060</v>
      </c>
      <c r="H1008">
        <v>0.1</v>
      </c>
      <c r="I1008">
        <v>506</v>
      </c>
      <c r="J1008" t="s">
        <v>38</v>
      </c>
    </row>
    <row r="1009" spans="1:10" x14ac:dyDescent="0.45">
      <c r="A1009" t="s">
        <v>1070</v>
      </c>
      <c r="B1009" t="s">
        <v>102</v>
      </c>
      <c r="C1009" t="s">
        <v>20</v>
      </c>
      <c r="D1009" t="s">
        <v>25</v>
      </c>
      <c r="E1009">
        <v>15</v>
      </c>
      <c r="F1009">
        <v>230</v>
      </c>
      <c r="G1009">
        <v>3450</v>
      </c>
      <c r="H1009">
        <v>0.11</v>
      </c>
      <c r="I1009">
        <v>379.5</v>
      </c>
      <c r="J1009" t="s">
        <v>40</v>
      </c>
    </row>
    <row r="1010" spans="1:10" x14ac:dyDescent="0.45">
      <c r="A1010" t="s">
        <v>1071</v>
      </c>
      <c r="B1010" t="s">
        <v>102</v>
      </c>
      <c r="C1010" t="s">
        <v>16</v>
      </c>
      <c r="D1010" t="s">
        <v>17</v>
      </c>
      <c r="E1010">
        <v>15</v>
      </c>
      <c r="F1010">
        <v>40</v>
      </c>
      <c r="G1010">
        <v>600</v>
      </c>
      <c r="H1010">
        <v>0.04</v>
      </c>
      <c r="I1010">
        <v>24</v>
      </c>
      <c r="J1010" t="s">
        <v>42</v>
      </c>
    </row>
    <row r="1011" spans="1:10" x14ac:dyDescent="0.45">
      <c r="A1011" t="s">
        <v>1072</v>
      </c>
      <c r="B1011" t="s">
        <v>102</v>
      </c>
      <c r="C1011" t="s">
        <v>12</v>
      </c>
      <c r="D1011" t="s">
        <v>17</v>
      </c>
      <c r="E1011">
        <v>2</v>
      </c>
      <c r="F1011">
        <v>80</v>
      </c>
      <c r="G1011">
        <v>160</v>
      </c>
      <c r="H1011">
        <v>7.0000000000000007E-2</v>
      </c>
      <c r="I1011">
        <v>11.200000000000001</v>
      </c>
      <c r="J1011" t="s">
        <v>45</v>
      </c>
    </row>
    <row r="1012" spans="1:10" x14ac:dyDescent="0.45">
      <c r="A1012" t="s">
        <v>1073</v>
      </c>
      <c r="B1012" t="s">
        <v>116</v>
      </c>
      <c r="C1012" t="s">
        <v>35</v>
      </c>
      <c r="D1012" t="s">
        <v>13</v>
      </c>
      <c r="E1012">
        <v>22</v>
      </c>
      <c r="F1012">
        <v>150</v>
      </c>
      <c r="G1012">
        <v>3300</v>
      </c>
      <c r="H1012">
        <v>0.05</v>
      </c>
      <c r="I1012">
        <v>165</v>
      </c>
      <c r="J1012" t="s">
        <v>14</v>
      </c>
    </row>
    <row r="1013" spans="1:10" x14ac:dyDescent="0.45">
      <c r="A1013" t="s">
        <v>1074</v>
      </c>
      <c r="B1013" t="s">
        <v>116</v>
      </c>
      <c r="C1013" t="s">
        <v>16</v>
      </c>
      <c r="D1013" t="s">
        <v>32</v>
      </c>
      <c r="E1013">
        <v>20</v>
      </c>
      <c r="F1013">
        <v>40</v>
      </c>
      <c r="G1013">
        <v>800</v>
      </c>
      <c r="H1013">
        <v>7.0000000000000007E-2</v>
      </c>
      <c r="I1013">
        <v>56.000000000000007</v>
      </c>
      <c r="J1013" t="s">
        <v>18</v>
      </c>
    </row>
    <row r="1014" spans="1:10" x14ac:dyDescent="0.45">
      <c r="A1014" t="s">
        <v>1075</v>
      </c>
      <c r="B1014" t="s">
        <v>116</v>
      </c>
      <c r="C1014" t="s">
        <v>20</v>
      </c>
      <c r="D1014" t="s">
        <v>28</v>
      </c>
      <c r="E1014">
        <v>2</v>
      </c>
      <c r="F1014">
        <v>230</v>
      </c>
      <c r="G1014">
        <v>460</v>
      </c>
      <c r="H1014">
        <v>0.09</v>
      </c>
      <c r="I1014">
        <v>41.4</v>
      </c>
      <c r="J1014" t="s">
        <v>21</v>
      </c>
    </row>
    <row r="1015" spans="1:10" x14ac:dyDescent="0.45">
      <c r="A1015" t="s">
        <v>1076</v>
      </c>
      <c r="B1015" t="s">
        <v>116</v>
      </c>
      <c r="C1015" t="s">
        <v>16</v>
      </c>
      <c r="D1015" t="s">
        <v>28</v>
      </c>
      <c r="E1015">
        <v>7</v>
      </c>
      <c r="F1015">
        <v>40</v>
      </c>
      <c r="G1015">
        <v>280</v>
      </c>
      <c r="H1015">
        <v>0.11</v>
      </c>
      <c r="I1015">
        <v>30.8</v>
      </c>
      <c r="J1015" t="s">
        <v>23</v>
      </c>
    </row>
    <row r="1016" spans="1:10" x14ac:dyDescent="0.45">
      <c r="A1016" t="s">
        <v>1077</v>
      </c>
      <c r="B1016" t="s">
        <v>116</v>
      </c>
      <c r="C1016" t="s">
        <v>16</v>
      </c>
      <c r="D1016" t="s">
        <v>28</v>
      </c>
      <c r="E1016">
        <v>9</v>
      </c>
      <c r="F1016">
        <v>40</v>
      </c>
      <c r="G1016">
        <v>360</v>
      </c>
      <c r="H1016">
        <v>0.06</v>
      </c>
      <c r="I1016">
        <v>21.599999999999998</v>
      </c>
      <c r="J1016" t="s">
        <v>29</v>
      </c>
    </row>
    <row r="1017" spans="1:10" x14ac:dyDescent="0.45">
      <c r="A1017" t="s">
        <v>1078</v>
      </c>
      <c r="B1017" t="s">
        <v>116</v>
      </c>
      <c r="C1017" t="s">
        <v>16</v>
      </c>
      <c r="D1017" t="s">
        <v>13</v>
      </c>
      <c r="E1017">
        <v>18</v>
      </c>
      <c r="F1017">
        <v>40</v>
      </c>
      <c r="G1017">
        <v>720</v>
      </c>
      <c r="H1017">
        <v>0.11</v>
      </c>
      <c r="I1017">
        <v>79.2</v>
      </c>
      <c r="J1017" t="s">
        <v>18</v>
      </c>
    </row>
    <row r="1018" spans="1:10" x14ac:dyDescent="0.45">
      <c r="A1018" t="s">
        <v>1079</v>
      </c>
      <c r="B1018" t="s">
        <v>116</v>
      </c>
      <c r="C1018" t="s">
        <v>20</v>
      </c>
      <c r="D1018" t="s">
        <v>13</v>
      </c>
      <c r="E1018">
        <v>20</v>
      </c>
      <c r="F1018">
        <v>230</v>
      </c>
      <c r="G1018">
        <v>4600</v>
      </c>
      <c r="H1018">
        <v>0.04</v>
      </c>
      <c r="I1018">
        <v>184</v>
      </c>
      <c r="J1018" t="s">
        <v>21</v>
      </c>
    </row>
    <row r="1019" spans="1:10" x14ac:dyDescent="0.45">
      <c r="A1019" t="s">
        <v>1080</v>
      </c>
      <c r="B1019" t="s">
        <v>116</v>
      </c>
      <c r="C1019" t="s">
        <v>12</v>
      </c>
      <c r="D1019" t="s">
        <v>25</v>
      </c>
      <c r="E1019">
        <v>23</v>
      </c>
      <c r="F1019">
        <v>80</v>
      </c>
      <c r="G1019">
        <v>1840</v>
      </c>
      <c r="H1019">
        <v>0.05</v>
      </c>
      <c r="I1019">
        <v>92</v>
      </c>
      <c r="J1019" t="s">
        <v>23</v>
      </c>
    </row>
    <row r="1020" spans="1:10" x14ac:dyDescent="0.45">
      <c r="A1020" t="s">
        <v>1081</v>
      </c>
      <c r="B1020" t="s">
        <v>116</v>
      </c>
      <c r="C1020" t="s">
        <v>35</v>
      </c>
      <c r="D1020" t="s">
        <v>32</v>
      </c>
      <c r="E1020">
        <v>11</v>
      </c>
      <c r="F1020">
        <v>150</v>
      </c>
      <c r="G1020">
        <v>1650</v>
      </c>
      <c r="H1020">
        <v>0.09</v>
      </c>
      <c r="I1020">
        <v>148.5</v>
      </c>
      <c r="J1020" t="s">
        <v>26</v>
      </c>
    </row>
    <row r="1021" spans="1:10" x14ac:dyDescent="0.45">
      <c r="A1021" t="s">
        <v>1082</v>
      </c>
      <c r="B1021" t="s">
        <v>116</v>
      </c>
      <c r="C1021" t="s">
        <v>35</v>
      </c>
      <c r="D1021" t="s">
        <v>13</v>
      </c>
      <c r="E1021">
        <v>17</v>
      </c>
      <c r="F1021">
        <v>150</v>
      </c>
      <c r="G1021">
        <v>2550</v>
      </c>
      <c r="H1021">
        <v>0.12</v>
      </c>
      <c r="I1021">
        <v>306</v>
      </c>
      <c r="J1021" t="s">
        <v>29</v>
      </c>
    </row>
    <row r="1022" spans="1:10" x14ac:dyDescent="0.45">
      <c r="A1022" t="s">
        <v>1083</v>
      </c>
      <c r="B1022" t="s">
        <v>116</v>
      </c>
      <c r="C1022" t="s">
        <v>20</v>
      </c>
      <c r="D1022" t="s">
        <v>32</v>
      </c>
      <c r="E1022">
        <v>2</v>
      </c>
      <c r="F1022">
        <v>230</v>
      </c>
      <c r="G1022">
        <v>460</v>
      </c>
      <c r="H1022">
        <v>0.08</v>
      </c>
      <c r="I1022">
        <v>36.800000000000004</v>
      </c>
      <c r="J1022" t="s">
        <v>33</v>
      </c>
    </row>
    <row r="1023" spans="1:10" x14ac:dyDescent="0.45">
      <c r="A1023" t="s">
        <v>1084</v>
      </c>
      <c r="B1023" t="s">
        <v>116</v>
      </c>
      <c r="C1023" t="s">
        <v>12</v>
      </c>
      <c r="D1023" t="s">
        <v>25</v>
      </c>
      <c r="E1023">
        <v>10</v>
      </c>
      <c r="F1023">
        <v>80</v>
      </c>
      <c r="G1023">
        <v>800</v>
      </c>
      <c r="H1023">
        <v>0.11</v>
      </c>
      <c r="I1023">
        <v>88</v>
      </c>
      <c r="J1023" t="s">
        <v>36</v>
      </c>
    </row>
    <row r="1024" spans="1:10" x14ac:dyDescent="0.45">
      <c r="A1024" t="s">
        <v>1085</v>
      </c>
      <c r="B1024" t="s">
        <v>128</v>
      </c>
      <c r="C1024" t="s">
        <v>31</v>
      </c>
      <c r="D1024" t="s">
        <v>28</v>
      </c>
      <c r="E1024">
        <v>22</v>
      </c>
      <c r="F1024">
        <v>16</v>
      </c>
      <c r="G1024">
        <v>352</v>
      </c>
      <c r="H1024">
        <v>0.03</v>
      </c>
      <c r="I1024">
        <v>10.559999999999999</v>
      </c>
      <c r="J1024" t="s">
        <v>38</v>
      </c>
    </row>
    <row r="1025" spans="1:10" x14ac:dyDescent="0.45">
      <c r="A1025" t="s">
        <v>1086</v>
      </c>
      <c r="B1025" t="s">
        <v>128</v>
      </c>
      <c r="C1025" t="s">
        <v>31</v>
      </c>
      <c r="D1025" t="s">
        <v>25</v>
      </c>
      <c r="E1025">
        <v>9</v>
      </c>
      <c r="F1025">
        <v>16</v>
      </c>
      <c r="G1025">
        <v>144</v>
      </c>
      <c r="H1025">
        <v>0.05</v>
      </c>
      <c r="I1025">
        <v>7.2</v>
      </c>
      <c r="J1025" t="s">
        <v>40</v>
      </c>
    </row>
    <row r="1026" spans="1:10" x14ac:dyDescent="0.45">
      <c r="A1026" t="s">
        <v>1087</v>
      </c>
      <c r="B1026" t="s">
        <v>128</v>
      </c>
      <c r="C1026" t="s">
        <v>16</v>
      </c>
      <c r="D1026" t="s">
        <v>25</v>
      </c>
      <c r="E1026">
        <v>4</v>
      </c>
      <c r="F1026">
        <v>40</v>
      </c>
      <c r="G1026">
        <v>160</v>
      </c>
      <c r="H1026">
        <v>0.1</v>
      </c>
      <c r="I1026">
        <v>16</v>
      </c>
      <c r="J1026" t="s">
        <v>42</v>
      </c>
    </row>
    <row r="1027" spans="1:10" x14ac:dyDescent="0.45">
      <c r="A1027" t="s">
        <v>1088</v>
      </c>
      <c r="B1027" t="s">
        <v>128</v>
      </c>
      <c r="C1027" t="s">
        <v>12</v>
      </c>
      <c r="D1027" t="s">
        <v>32</v>
      </c>
      <c r="E1027">
        <v>9</v>
      </c>
      <c r="F1027">
        <v>80</v>
      </c>
      <c r="G1027">
        <v>720</v>
      </c>
      <c r="H1027">
        <v>0.02</v>
      </c>
      <c r="I1027">
        <v>14.4</v>
      </c>
      <c r="J1027" t="s">
        <v>45</v>
      </c>
    </row>
    <row r="1028" spans="1:10" x14ac:dyDescent="0.45">
      <c r="A1028" t="s">
        <v>1089</v>
      </c>
      <c r="B1028" t="s">
        <v>128</v>
      </c>
      <c r="C1028" t="s">
        <v>20</v>
      </c>
      <c r="D1028" t="s">
        <v>25</v>
      </c>
      <c r="E1028">
        <v>6</v>
      </c>
      <c r="F1028">
        <v>230</v>
      </c>
      <c r="G1028">
        <v>1380</v>
      </c>
      <c r="H1028">
        <v>0.05</v>
      </c>
      <c r="I1028">
        <v>69</v>
      </c>
      <c r="J1028" t="s">
        <v>14</v>
      </c>
    </row>
    <row r="1029" spans="1:10" x14ac:dyDescent="0.45">
      <c r="A1029" t="s">
        <v>1090</v>
      </c>
      <c r="B1029" t="s">
        <v>128</v>
      </c>
      <c r="C1029" t="s">
        <v>12</v>
      </c>
      <c r="D1029" t="s">
        <v>28</v>
      </c>
      <c r="E1029">
        <v>14</v>
      </c>
      <c r="F1029">
        <v>80</v>
      </c>
      <c r="G1029">
        <v>1120</v>
      </c>
      <c r="H1029">
        <v>0.05</v>
      </c>
      <c r="I1029">
        <v>56</v>
      </c>
      <c r="J1029" t="s">
        <v>18</v>
      </c>
    </row>
    <row r="1030" spans="1:10" x14ac:dyDescent="0.45">
      <c r="A1030" t="s">
        <v>1091</v>
      </c>
      <c r="B1030" t="s">
        <v>128</v>
      </c>
      <c r="C1030" t="s">
        <v>31</v>
      </c>
      <c r="D1030" t="s">
        <v>32</v>
      </c>
      <c r="E1030">
        <v>17</v>
      </c>
      <c r="F1030">
        <v>16</v>
      </c>
      <c r="G1030">
        <v>272</v>
      </c>
      <c r="H1030">
        <v>0.08</v>
      </c>
      <c r="I1030">
        <v>21.76</v>
      </c>
      <c r="J1030" t="s">
        <v>21</v>
      </c>
    </row>
    <row r="1031" spans="1:10" x14ac:dyDescent="0.45">
      <c r="A1031" t="s">
        <v>1092</v>
      </c>
      <c r="B1031" t="s">
        <v>128</v>
      </c>
      <c r="C1031" t="s">
        <v>35</v>
      </c>
      <c r="D1031" t="s">
        <v>17</v>
      </c>
      <c r="E1031">
        <v>22</v>
      </c>
      <c r="F1031">
        <v>150</v>
      </c>
      <c r="G1031">
        <v>3300</v>
      </c>
      <c r="H1031">
        <v>0.02</v>
      </c>
      <c r="I1031">
        <v>66</v>
      </c>
      <c r="J1031" t="s">
        <v>23</v>
      </c>
    </row>
    <row r="1032" spans="1:10" x14ac:dyDescent="0.45">
      <c r="A1032" t="s">
        <v>1093</v>
      </c>
      <c r="B1032" t="s">
        <v>128</v>
      </c>
      <c r="C1032" t="s">
        <v>16</v>
      </c>
      <c r="D1032" t="s">
        <v>32</v>
      </c>
      <c r="E1032">
        <v>17</v>
      </c>
      <c r="F1032">
        <v>40</v>
      </c>
      <c r="G1032">
        <v>680</v>
      </c>
      <c r="H1032">
        <v>0.02</v>
      </c>
      <c r="I1032">
        <v>13.6</v>
      </c>
      <c r="J1032" t="s">
        <v>26</v>
      </c>
    </row>
    <row r="1033" spans="1:10" x14ac:dyDescent="0.45">
      <c r="A1033" t="s">
        <v>1094</v>
      </c>
      <c r="B1033" t="s">
        <v>128</v>
      </c>
      <c r="C1033" t="s">
        <v>12</v>
      </c>
      <c r="D1033" t="s">
        <v>32</v>
      </c>
      <c r="E1033">
        <v>17</v>
      </c>
      <c r="F1033">
        <v>80</v>
      </c>
      <c r="G1033">
        <v>1360</v>
      </c>
      <c r="H1033">
        <v>7.0000000000000007E-2</v>
      </c>
      <c r="I1033">
        <v>95.2</v>
      </c>
      <c r="J1033" t="s">
        <v>29</v>
      </c>
    </row>
    <row r="1034" spans="1:10" x14ac:dyDescent="0.45">
      <c r="A1034" t="s">
        <v>1095</v>
      </c>
      <c r="B1034" t="s">
        <v>128</v>
      </c>
      <c r="C1034" t="s">
        <v>35</v>
      </c>
      <c r="D1034" t="s">
        <v>28</v>
      </c>
      <c r="E1034">
        <v>4</v>
      </c>
      <c r="F1034">
        <v>150</v>
      </c>
      <c r="G1034">
        <v>600</v>
      </c>
      <c r="H1034">
        <v>0.12</v>
      </c>
      <c r="I1034">
        <v>72</v>
      </c>
      <c r="J1034" t="s">
        <v>18</v>
      </c>
    </row>
    <row r="1035" spans="1:10" x14ac:dyDescent="0.45">
      <c r="A1035" t="s">
        <v>1096</v>
      </c>
      <c r="B1035" t="s">
        <v>128</v>
      </c>
      <c r="C1035" t="s">
        <v>31</v>
      </c>
      <c r="D1035" t="s">
        <v>28</v>
      </c>
      <c r="E1035">
        <v>14</v>
      </c>
      <c r="F1035">
        <v>16</v>
      </c>
      <c r="G1035">
        <v>224</v>
      </c>
      <c r="H1035">
        <v>0.12</v>
      </c>
      <c r="I1035">
        <v>26.88</v>
      </c>
      <c r="J1035" t="s">
        <v>21</v>
      </c>
    </row>
    <row r="1036" spans="1:10" x14ac:dyDescent="0.45">
      <c r="A1036" t="s">
        <v>1097</v>
      </c>
      <c r="B1036" t="s">
        <v>128</v>
      </c>
      <c r="C1036" t="s">
        <v>31</v>
      </c>
      <c r="D1036" t="s">
        <v>13</v>
      </c>
      <c r="E1036">
        <v>18</v>
      </c>
      <c r="F1036">
        <v>16</v>
      </c>
      <c r="G1036">
        <v>288</v>
      </c>
      <c r="H1036">
        <v>0.11</v>
      </c>
      <c r="I1036">
        <v>31.68</v>
      </c>
      <c r="J1036" t="s">
        <v>23</v>
      </c>
    </row>
    <row r="1037" spans="1:10" x14ac:dyDescent="0.45">
      <c r="A1037" t="s">
        <v>1098</v>
      </c>
      <c r="B1037" t="s">
        <v>128</v>
      </c>
      <c r="C1037" t="s">
        <v>12</v>
      </c>
      <c r="D1037" t="s">
        <v>32</v>
      </c>
      <c r="E1037">
        <v>22</v>
      </c>
      <c r="F1037">
        <v>80</v>
      </c>
      <c r="G1037">
        <v>1760</v>
      </c>
      <c r="H1037">
        <v>0.09</v>
      </c>
      <c r="I1037">
        <v>158.4</v>
      </c>
      <c r="J1037" t="s">
        <v>26</v>
      </c>
    </row>
    <row r="1038" spans="1:10" x14ac:dyDescent="0.45">
      <c r="A1038" t="s">
        <v>1099</v>
      </c>
      <c r="B1038" t="s">
        <v>128</v>
      </c>
      <c r="C1038" t="s">
        <v>20</v>
      </c>
      <c r="D1038" t="s">
        <v>17</v>
      </c>
      <c r="E1038">
        <v>12</v>
      </c>
      <c r="F1038">
        <v>230</v>
      </c>
      <c r="G1038">
        <v>2760</v>
      </c>
      <c r="H1038">
        <v>0.03</v>
      </c>
      <c r="I1038">
        <v>82.8</v>
      </c>
      <c r="J1038" t="s">
        <v>29</v>
      </c>
    </row>
    <row r="1039" spans="1:10" x14ac:dyDescent="0.45">
      <c r="A1039" t="s">
        <v>1100</v>
      </c>
      <c r="B1039" t="s">
        <v>128</v>
      </c>
      <c r="C1039" t="s">
        <v>16</v>
      </c>
      <c r="D1039" t="s">
        <v>17</v>
      </c>
      <c r="E1039">
        <v>12</v>
      </c>
      <c r="F1039">
        <v>40</v>
      </c>
      <c r="G1039">
        <v>480</v>
      </c>
      <c r="H1039">
        <v>0.1</v>
      </c>
      <c r="I1039">
        <v>48</v>
      </c>
      <c r="J1039" t="s">
        <v>33</v>
      </c>
    </row>
    <row r="1040" spans="1:10" x14ac:dyDescent="0.45">
      <c r="A1040" t="s">
        <v>1101</v>
      </c>
      <c r="B1040" t="s">
        <v>135</v>
      </c>
      <c r="C1040" t="s">
        <v>16</v>
      </c>
      <c r="D1040" t="s">
        <v>32</v>
      </c>
      <c r="E1040">
        <v>7</v>
      </c>
      <c r="F1040">
        <v>40</v>
      </c>
      <c r="G1040">
        <v>280</v>
      </c>
      <c r="H1040">
        <v>0.12</v>
      </c>
      <c r="I1040">
        <v>33.6</v>
      </c>
      <c r="J1040" t="s">
        <v>36</v>
      </c>
    </row>
    <row r="1041" spans="1:10" x14ac:dyDescent="0.45">
      <c r="A1041" t="s">
        <v>1102</v>
      </c>
      <c r="B1041" t="s">
        <v>135</v>
      </c>
      <c r="C1041" t="s">
        <v>12</v>
      </c>
      <c r="D1041" t="s">
        <v>13</v>
      </c>
      <c r="E1041">
        <v>12</v>
      </c>
      <c r="F1041">
        <v>80</v>
      </c>
      <c r="G1041">
        <v>960</v>
      </c>
      <c r="H1041">
        <v>0.04</v>
      </c>
      <c r="I1041">
        <v>38.4</v>
      </c>
      <c r="J1041" t="s">
        <v>38</v>
      </c>
    </row>
    <row r="1042" spans="1:10" x14ac:dyDescent="0.45">
      <c r="A1042" t="s">
        <v>1103</v>
      </c>
      <c r="B1042" t="s">
        <v>135</v>
      </c>
      <c r="C1042" t="s">
        <v>31</v>
      </c>
      <c r="D1042" t="s">
        <v>32</v>
      </c>
      <c r="E1042">
        <v>17</v>
      </c>
      <c r="F1042">
        <v>16</v>
      </c>
      <c r="G1042">
        <v>272</v>
      </c>
      <c r="H1042">
        <v>0.1</v>
      </c>
      <c r="I1042">
        <v>27.200000000000003</v>
      </c>
      <c r="J1042" t="s">
        <v>40</v>
      </c>
    </row>
    <row r="1043" spans="1:10" x14ac:dyDescent="0.45">
      <c r="A1043" t="s">
        <v>1104</v>
      </c>
      <c r="B1043" t="s">
        <v>135</v>
      </c>
      <c r="C1043" t="s">
        <v>20</v>
      </c>
      <c r="D1043" t="s">
        <v>17</v>
      </c>
      <c r="E1043">
        <v>6</v>
      </c>
      <c r="F1043">
        <v>230</v>
      </c>
      <c r="G1043">
        <v>1380</v>
      </c>
      <c r="H1043">
        <v>0.1</v>
      </c>
      <c r="I1043">
        <v>138</v>
      </c>
      <c r="J1043" t="s">
        <v>42</v>
      </c>
    </row>
    <row r="1044" spans="1:10" x14ac:dyDescent="0.45">
      <c r="A1044" t="s">
        <v>1105</v>
      </c>
      <c r="B1044" t="s">
        <v>135</v>
      </c>
      <c r="C1044" t="s">
        <v>16</v>
      </c>
      <c r="D1044" t="s">
        <v>13</v>
      </c>
      <c r="E1044">
        <v>11</v>
      </c>
      <c r="F1044">
        <v>40</v>
      </c>
      <c r="G1044">
        <v>440</v>
      </c>
      <c r="H1044">
        <v>0.04</v>
      </c>
      <c r="I1044">
        <v>17.600000000000001</v>
      </c>
      <c r="J1044" t="s">
        <v>45</v>
      </c>
    </row>
    <row r="1045" spans="1:10" x14ac:dyDescent="0.45">
      <c r="A1045" t="s">
        <v>1106</v>
      </c>
      <c r="B1045" t="s">
        <v>135</v>
      </c>
      <c r="C1045" t="s">
        <v>31</v>
      </c>
      <c r="D1045" t="s">
        <v>28</v>
      </c>
      <c r="E1045">
        <v>10</v>
      </c>
      <c r="F1045">
        <v>16</v>
      </c>
      <c r="G1045">
        <v>160</v>
      </c>
      <c r="H1045">
        <v>0.04</v>
      </c>
      <c r="I1045">
        <v>6.4</v>
      </c>
      <c r="J1045" t="s">
        <v>14</v>
      </c>
    </row>
    <row r="1046" spans="1:10" x14ac:dyDescent="0.45">
      <c r="A1046" t="s">
        <v>1107</v>
      </c>
      <c r="B1046" t="s">
        <v>135</v>
      </c>
      <c r="C1046" t="s">
        <v>12</v>
      </c>
      <c r="D1046" t="s">
        <v>13</v>
      </c>
      <c r="E1046">
        <v>6</v>
      </c>
      <c r="F1046">
        <v>80</v>
      </c>
      <c r="G1046">
        <v>480</v>
      </c>
      <c r="H1046">
        <v>7.0000000000000007E-2</v>
      </c>
      <c r="I1046">
        <v>33.6</v>
      </c>
      <c r="J1046" t="s">
        <v>18</v>
      </c>
    </row>
    <row r="1047" spans="1:10" x14ac:dyDescent="0.45">
      <c r="A1047" t="s">
        <v>1108</v>
      </c>
      <c r="B1047" t="s">
        <v>135</v>
      </c>
      <c r="C1047" t="s">
        <v>16</v>
      </c>
      <c r="D1047" t="s">
        <v>28</v>
      </c>
      <c r="E1047">
        <v>11</v>
      </c>
      <c r="F1047">
        <v>40</v>
      </c>
      <c r="G1047">
        <v>440</v>
      </c>
      <c r="H1047">
        <v>0.09</v>
      </c>
      <c r="I1047">
        <v>39.6</v>
      </c>
      <c r="J1047" t="s">
        <v>21</v>
      </c>
    </row>
    <row r="1048" spans="1:10" x14ac:dyDescent="0.45">
      <c r="A1048" t="s">
        <v>1109</v>
      </c>
      <c r="B1048" t="s">
        <v>135</v>
      </c>
      <c r="C1048" t="s">
        <v>12</v>
      </c>
      <c r="D1048" t="s">
        <v>32</v>
      </c>
      <c r="E1048">
        <v>16</v>
      </c>
      <c r="F1048">
        <v>80</v>
      </c>
      <c r="G1048">
        <v>1280</v>
      </c>
      <c r="H1048">
        <v>0.09</v>
      </c>
      <c r="I1048">
        <v>115.19999999999999</v>
      </c>
      <c r="J1048" t="s">
        <v>23</v>
      </c>
    </row>
    <row r="1049" spans="1:10" x14ac:dyDescent="0.45">
      <c r="A1049" t="s">
        <v>1110</v>
      </c>
      <c r="B1049" t="s">
        <v>135</v>
      </c>
      <c r="C1049" t="s">
        <v>16</v>
      </c>
      <c r="D1049" t="s">
        <v>28</v>
      </c>
      <c r="E1049">
        <v>13</v>
      </c>
      <c r="F1049">
        <v>40</v>
      </c>
      <c r="G1049">
        <v>520</v>
      </c>
      <c r="H1049">
        <v>0.09</v>
      </c>
      <c r="I1049">
        <v>46.8</v>
      </c>
      <c r="J1049" t="s">
        <v>26</v>
      </c>
    </row>
    <row r="1050" spans="1:10" x14ac:dyDescent="0.45">
      <c r="A1050" t="s">
        <v>1111</v>
      </c>
      <c r="B1050" t="s">
        <v>135</v>
      </c>
      <c r="C1050" t="s">
        <v>20</v>
      </c>
      <c r="D1050" t="s">
        <v>13</v>
      </c>
      <c r="E1050">
        <v>5</v>
      </c>
      <c r="F1050">
        <v>230</v>
      </c>
      <c r="G1050">
        <v>1150</v>
      </c>
      <c r="H1050">
        <v>0.1</v>
      </c>
      <c r="I1050">
        <v>115</v>
      </c>
      <c r="J1050" t="s">
        <v>29</v>
      </c>
    </row>
    <row r="1051" spans="1:10" x14ac:dyDescent="0.45">
      <c r="A1051" t="s">
        <v>1112</v>
      </c>
      <c r="B1051" t="s">
        <v>155</v>
      </c>
      <c r="C1051" t="s">
        <v>16</v>
      </c>
      <c r="D1051" t="s">
        <v>32</v>
      </c>
      <c r="E1051">
        <v>7</v>
      </c>
      <c r="F1051">
        <v>40</v>
      </c>
      <c r="G1051">
        <v>280</v>
      </c>
      <c r="H1051">
        <v>0.05</v>
      </c>
      <c r="I1051">
        <v>14</v>
      </c>
      <c r="J1051" t="s">
        <v>18</v>
      </c>
    </row>
    <row r="1052" spans="1:10" x14ac:dyDescent="0.45">
      <c r="A1052" t="s">
        <v>1113</v>
      </c>
      <c r="B1052" t="s">
        <v>155</v>
      </c>
      <c r="C1052" t="s">
        <v>12</v>
      </c>
      <c r="D1052" t="s">
        <v>25</v>
      </c>
      <c r="E1052">
        <v>14</v>
      </c>
      <c r="F1052">
        <v>80</v>
      </c>
      <c r="G1052">
        <v>1120</v>
      </c>
      <c r="H1052">
        <v>0.1</v>
      </c>
      <c r="I1052">
        <v>112</v>
      </c>
      <c r="J1052" t="s">
        <v>21</v>
      </c>
    </row>
    <row r="1053" spans="1:10" x14ac:dyDescent="0.45">
      <c r="A1053" t="s">
        <v>1114</v>
      </c>
      <c r="B1053" t="s">
        <v>155</v>
      </c>
      <c r="C1053" t="s">
        <v>31</v>
      </c>
      <c r="D1053" t="s">
        <v>32</v>
      </c>
      <c r="E1053">
        <v>12</v>
      </c>
      <c r="F1053">
        <v>16</v>
      </c>
      <c r="G1053">
        <v>192</v>
      </c>
      <c r="H1053">
        <v>0.04</v>
      </c>
      <c r="I1053">
        <v>7.68</v>
      </c>
      <c r="J1053" t="s">
        <v>23</v>
      </c>
    </row>
    <row r="1054" spans="1:10" x14ac:dyDescent="0.45">
      <c r="A1054" t="s">
        <v>1115</v>
      </c>
      <c r="B1054" t="s">
        <v>155</v>
      </c>
      <c r="C1054" t="s">
        <v>20</v>
      </c>
      <c r="D1054" t="s">
        <v>25</v>
      </c>
      <c r="E1054">
        <v>14</v>
      </c>
      <c r="F1054">
        <v>230</v>
      </c>
      <c r="G1054">
        <v>3220</v>
      </c>
      <c r="H1054">
        <v>0.03</v>
      </c>
      <c r="I1054">
        <v>96.6</v>
      </c>
      <c r="J1054" t="s">
        <v>26</v>
      </c>
    </row>
    <row r="1055" spans="1:10" x14ac:dyDescent="0.45">
      <c r="A1055" t="s">
        <v>1116</v>
      </c>
      <c r="B1055" t="s">
        <v>155</v>
      </c>
      <c r="C1055" t="s">
        <v>12</v>
      </c>
      <c r="D1055" t="s">
        <v>32</v>
      </c>
      <c r="E1055">
        <v>21</v>
      </c>
      <c r="F1055">
        <v>80</v>
      </c>
      <c r="G1055">
        <v>1680</v>
      </c>
      <c r="H1055">
        <v>0.09</v>
      </c>
      <c r="I1055">
        <v>151.19999999999999</v>
      </c>
      <c r="J1055" t="s">
        <v>29</v>
      </c>
    </row>
    <row r="1056" spans="1:10" x14ac:dyDescent="0.45">
      <c r="A1056" t="s">
        <v>1117</v>
      </c>
      <c r="B1056" t="s">
        <v>155</v>
      </c>
      <c r="C1056" t="s">
        <v>20</v>
      </c>
      <c r="D1056" t="s">
        <v>25</v>
      </c>
      <c r="E1056">
        <v>5</v>
      </c>
      <c r="F1056">
        <v>230</v>
      </c>
      <c r="G1056">
        <v>1150</v>
      </c>
      <c r="H1056">
        <v>0.1</v>
      </c>
      <c r="I1056">
        <v>115</v>
      </c>
      <c r="J1056" t="s">
        <v>33</v>
      </c>
    </row>
    <row r="1057" spans="1:10" x14ac:dyDescent="0.45">
      <c r="A1057" t="s">
        <v>1118</v>
      </c>
      <c r="B1057" t="s">
        <v>155</v>
      </c>
      <c r="C1057" t="s">
        <v>16</v>
      </c>
      <c r="D1057" t="s">
        <v>32</v>
      </c>
      <c r="E1057">
        <v>16</v>
      </c>
      <c r="F1057">
        <v>40</v>
      </c>
      <c r="G1057">
        <v>640</v>
      </c>
      <c r="H1057">
        <v>0.09</v>
      </c>
      <c r="I1057">
        <v>57.599999999999994</v>
      </c>
      <c r="J1057" t="s">
        <v>36</v>
      </c>
    </row>
    <row r="1058" spans="1:10" x14ac:dyDescent="0.45">
      <c r="A1058" t="s">
        <v>1119</v>
      </c>
      <c r="B1058" t="s">
        <v>155</v>
      </c>
      <c r="C1058" t="s">
        <v>35</v>
      </c>
      <c r="D1058" t="s">
        <v>17</v>
      </c>
      <c r="E1058">
        <v>15</v>
      </c>
      <c r="F1058">
        <v>150</v>
      </c>
      <c r="G1058">
        <v>2250</v>
      </c>
      <c r="H1058">
        <v>0.12</v>
      </c>
      <c r="I1058">
        <v>270</v>
      </c>
      <c r="J1058" t="s">
        <v>38</v>
      </c>
    </row>
    <row r="1059" spans="1:10" x14ac:dyDescent="0.45">
      <c r="A1059" t="s">
        <v>1120</v>
      </c>
      <c r="B1059" t="s">
        <v>155</v>
      </c>
      <c r="C1059" t="s">
        <v>31</v>
      </c>
      <c r="D1059" t="s">
        <v>32</v>
      </c>
      <c r="E1059">
        <v>23</v>
      </c>
      <c r="F1059">
        <v>16</v>
      </c>
      <c r="G1059">
        <v>368</v>
      </c>
      <c r="H1059">
        <v>0.01</v>
      </c>
      <c r="I1059">
        <v>3.68</v>
      </c>
      <c r="J1059" t="s">
        <v>40</v>
      </c>
    </row>
    <row r="1060" spans="1:10" x14ac:dyDescent="0.45">
      <c r="A1060" t="s">
        <v>1121</v>
      </c>
      <c r="B1060" t="s">
        <v>155</v>
      </c>
      <c r="C1060" t="s">
        <v>31</v>
      </c>
      <c r="D1060" t="s">
        <v>17</v>
      </c>
      <c r="E1060">
        <v>22</v>
      </c>
      <c r="F1060">
        <v>16</v>
      </c>
      <c r="G1060">
        <v>352</v>
      </c>
      <c r="H1060">
        <v>0.04</v>
      </c>
      <c r="I1060">
        <v>14.08</v>
      </c>
      <c r="J1060" t="s">
        <v>42</v>
      </c>
    </row>
    <row r="1061" spans="1:10" x14ac:dyDescent="0.45">
      <c r="A1061" t="s">
        <v>1122</v>
      </c>
      <c r="B1061" t="s">
        <v>155</v>
      </c>
      <c r="C1061" t="s">
        <v>12</v>
      </c>
      <c r="D1061" t="s">
        <v>13</v>
      </c>
      <c r="E1061">
        <v>20</v>
      </c>
      <c r="F1061">
        <v>80</v>
      </c>
      <c r="G1061">
        <v>1600</v>
      </c>
      <c r="H1061">
        <v>0.01</v>
      </c>
      <c r="I1061">
        <v>16</v>
      </c>
      <c r="J1061" t="s">
        <v>45</v>
      </c>
    </row>
    <row r="1062" spans="1:10" x14ac:dyDescent="0.45">
      <c r="A1062" t="s">
        <v>1123</v>
      </c>
      <c r="B1062" t="s">
        <v>155</v>
      </c>
      <c r="C1062" t="s">
        <v>16</v>
      </c>
      <c r="D1062" t="s">
        <v>28</v>
      </c>
      <c r="E1062">
        <v>6</v>
      </c>
      <c r="F1062">
        <v>40</v>
      </c>
      <c r="G1062">
        <v>240</v>
      </c>
      <c r="H1062">
        <v>7.0000000000000007E-2</v>
      </c>
      <c r="I1062">
        <v>16.8</v>
      </c>
      <c r="J1062" t="s">
        <v>14</v>
      </c>
    </row>
    <row r="1063" spans="1:10" x14ac:dyDescent="0.45">
      <c r="A1063" t="s">
        <v>1124</v>
      </c>
      <c r="B1063" t="s">
        <v>163</v>
      </c>
      <c r="C1063" t="s">
        <v>35</v>
      </c>
      <c r="D1063" t="s">
        <v>17</v>
      </c>
      <c r="E1063">
        <v>10</v>
      </c>
      <c r="F1063">
        <v>150</v>
      </c>
      <c r="G1063">
        <v>1500</v>
      </c>
      <c r="H1063">
        <v>0.01</v>
      </c>
      <c r="I1063">
        <v>15</v>
      </c>
      <c r="J1063" t="s">
        <v>18</v>
      </c>
    </row>
    <row r="1064" spans="1:10" x14ac:dyDescent="0.45">
      <c r="A1064" t="s">
        <v>1125</v>
      </c>
      <c r="B1064" t="s">
        <v>163</v>
      </c>
      <c r="C1064" t="s">
        <v>12</v>
      </c>
      <c r="D1064" t="s">
        <v>28</v>
      </c>
      <c r="E1064">
        <v>17</v>
      </c>
      <c r="F1064">
        <v>80</v>
      </c>
      <c r="G1064">
        <v>1360</v>
      </c>
      <c r="H1064">
        <v>0.05</v>
      </c>
      <c r="I1064">
        <v>68</v>
      </c>
      <c r="J1064" t="s">
        <v>21</v>
      </c>
    </row>
    <row r="1065" spans="1:10" x14ac:dyDescent="0.45">
      <c r="A1065" t="s">
        <v>1126</v>
      </c>
      <c r="B1065" t="s">
        <v>163</v>
      </c>
      <c r="C1065" t="s">
        <v>35</v>
      </c>
      <c r="D1065" t="s">
        <v>13</v>
      </c>
      <c r="E1065">
        <v>13</v>
      </c>
      <c r="F1065">
        <v>150</v>
      </c>
      <c r="G1065">
        <v>1950</v>
      </c>
      <c r="H1065">
        <v>0.05</v>
      </c>
      <c r="I1065">
        <v>97.5</v>
      </c>
      <c r="J1065" t="s">
        <v>23</v>
      </c>
    </row>
    <row r="1066" spans="1:10" x14ac:dyDescent="0.45">
      <c r="A1066" t="s">
        <v>1127</v>
      </c>
      <c r="B1066" t="s">
        <v>163</v>
      </c>
      <c r="C1066" t="s">
        <v>20</v>
      </c>
      <c r="D1066" t="s">
        <v>28</v>
      </c>
      <c r="E1066">
        <v>8</v>
      </c>
      <c r="F1066">
        <v>230</v>
      </c>
      <c r="G1066">
        <v>1840</v>
      </c>
      <c r="H1066">
        <v>0.05</v>
      </c>
      <c r="I1066">
        <v>92</v>
      </c>
      <c r="J1066" t="s">
        <v>26</v>
      </c>
    </row>
    <row r="1067" spans="1:10" x14ac:dyDescent="0.45">
      <c r="A1067" t="s">
        <v>1128</v>
      </c>
      <c r="B1067" t="s">
        <v>163</v>
      </c>
      <c r="C1067" t="s">
        <v>31</v>
      </c>
      <c r="D1067" t="s">
        <v>13</v>
      </c>
      <c r="E1067">
        <v>10</v>
      </c>
      <c r="F1067">
        <v>16</v>
      </c>
      <c r="G1067">
        <v>160</v>
      </c>
      <c r="H1067">
        <v>0.08</v>
      </c>
      <c r="I1067">
        <v>12.8</v>
      </c>
      <c r="J1067" t="s">
        <v>29</v>
      </c>
    </row>
    <row r="1068" spans="1:10" x14ac:dyDescent="0.45">
      <c r="A1068" t="s">
        <v>1129</v>
      </c>
      <c r="B1068" t="s">
        <v>163</v>
      </c>
      <c r="C1068" t="s">
        <v>16</v>
      </c>
      <c r="D1068" t="s">
        <v>17</v>
      </c>
      <c r="E1068">
        <v>4</v>
      </c>
      <c r="F1068">
        <v>40</v>
      </c>
      <c r="G1068">
        <v>160</v>
      </c>
      <c r="H1068">
        <v>0.06</v>
      </c>
      <c r="I1068">
        <v>9.6</v>
      </c>
      <c r="J1068" t="s">
        <v>18</v>
      </c>
    </row>
    <row r="1069" spans="1:10" x14ac:dyDescent="0.45">
      <c r="A1069" t="s">
        <v>1130</v>
      </c>
      <c r="B1069" t="s">
        <v>163</v>
      </c>
      <c r="C1069" t="s">
        <v>16</v>
      </c>
      <c r="D1069" t="s">
        <v>32</v>
      </c>
      <c r="E1069">
        <v>18</v>
      </c>
      <c r="F1069">
        <v>40</v>
      </c>
      <c r="G1069">
        <v>720</v>
      </c>
      <c r="H1069">
        <v>0.06</v>
      </c>
      <c r="I1069">
        <v>43.199999999999996</v>
      </c>
      <c r="J1069" t="s">
        <v>21</v>
      </c>
    </row>
    <row r="1070" spans="1:10" x14ac:dyDescent="0.45">
      <c r="A1070" t="s">
        <v>1131</v>
      </c>
      <c r="B1070" t="s">
        <v>163</v>
      </c>
      <c r="C1070" t="s">
        <v>35</v>
      </c>
      <c r="D1070" t="s">
        <v>28</v>
      </c>
      <c r="E1070">
        <v>15</v>
      </c>
      <c r="F1070">
        <v>150</v>
      </c>
      <c r="G1070">
        <v>2250</v>
      </c>
      <c r="H1070">
        <v>0.05</v>
      </c>
      <c r="I1070">
        <v>112.5</v>
      </c>
      <c r="J1070" t="s">
        <v>23</v>
      </c>
    </row>
    <row r="1071" spans="1:10" x14ac:dyDescent="0.45">
      <c r="A1071" t="s">
        <v>1132</v>
      </c>
      <c r="B1071" t="s">
        <v>163</v>
      </c>
      <c r="C1071" t="s">
        <v>35</v>
      </c>
      <c r="D1071" t="s">
        <v>28</v>
      </c>
      <c r="E1071">
        <v>3</v>
      </c>
      <c r="F1071">
        <v>150</v>
      </c>
      <c r="G1071">
        <v>450</v>
      </c>
      <c r="H1071">
        <v>0.01</v>
      </c>
      <c r="I1071">
        <v>4.5</v>
      </c>
      <c r="J1071" t="s">
        <v>26</v>
      </c>
    </row>
    <row r="1072" spans="1:10" x14ac:dyDescent="0.45">
      <c r="A1072" t="s">
        <v>1133</v>
      </c>
      <c r="B1072" t="s">
        <v>163</v>
      </c>
      <c r="C1072" t="s">
        <v>31</v>
      </c>
      <c r="D1072" t="s">
        <v>13</v>
      </c>
      <c r="E1072">
        <v>12</v>
      </c>
      <c r="F1072">
        <v>16</v>
      </c>
      <c r="G1072">
        <v>192</v>
      </c>
      <c r="H1072">
        <v>0.11</v>
      </c>
      <c r="I1072">
        <v>21.12</v>
      </c>
      <c r="J1072" t="s">
        <v>29</v>
      </c>
    </row>
    <row r="1073" spans="1:10" x14ac:dyDescent="0.45">
      <c r="A1073" t="s">
        <v>1134</v>
      </c>
      <c r="B1073" t="s">
        <v>171</v>
      </c>
      <c r="C1073" t="s">
        <v>12</v>
      </c>
      <c r="D1073" t="s">
        <v>32</v>
      </c>
      <c r="E1073">
        <v>17</v>
      </c>
      <c r="F1073">
        <v>80</v>
      </c>
      <c r="G1073">
        <v>1360</v>
      </c>
      <c r="H1073">
        <v>7.0000000000000007E-2</v>
      </c>
      <c r="I1073">
        <v>95.2</v>
      </c>
      <c r="J1073" t="s">
        <v>33</v>
      </c>
    </row>
    <row r="1074" spans="1:10" x14ac:dyDescent="0.45">
      <c r="A1074" t="s">
        <v>1135</v>
      </c>
      <c r="B1074" t="s">
        <v>171</v>
      </c>
      <c r="C1074" t="s">
        <v>20</v>
      </c>
      <c r="D1074" t="s">
        <v>13</v>
      </c>
      <c r="E1074">
        <v>3</v>
      </c>
      <c r="F1074">
        <v>230</v>
      </c>
      <c r="G1074">
        <v>690</v>
      </c>
      <c r="H1074">
        <v>0.06</v>
      </c>
      <c r="I1074">
        <v>41.4</v>
      </c>
      <c r="J1074" t="s">
        <v>36</v>
      </c>
    </row>
    <row r="1075" spans="1:10" x14ac:dyDescent="0.45">
      <c r="A1075" t="s">
        <v>1136</v>
      </c>
      <c r="B1075" t="s">
        <v>171</v>
      </c>
      <c r="C1075" t="s">
        <v>12</v>
      </c>
      <c r="D1075" t="s">
        <v>25</v>
      </c>
      <c r="E1075">
        <v>20</v>
      </c>
      <c r="F1075">
        <v>80</v>
      </c>
      <c r="G1075">
        <v>1600</v>
      </c>
      <c r="H1075">
        <v>7.0000000000000007E-2</v>
      </c>
      <c r="I1075">
        <v>112.00000000000001</v>
      </c>
      <c r="J1075" t="s">
        <v>38</v>
      </c>
    </row>
    <row r="1076" spans="1:10" x14ac:dyDescent="0.45">
      <c r="A1076" t="s">
        <v>1137</v>
      </c>
      <c r="B1076" t="s">
        <v>171</v>
      </c>
      <c r="C1076" t="s">
        <v>20</v>
      </c>
      <c r="D1076" t="s">
        <v>17</v>
      </c>
      <c r="E1076">
        <v>14</v>
      </c>
      <c r="F1076">
        <v>230</v>
      </c>
      <c r="G1076">
        <v>3220</v>
      </c>
      <c r="H1076">
        <v>0.05</v>
      </c>
      <c r="I1076">
        <v>161</v>
      </c>
      <c r="J1076" t="s">
        <v>40</v>
      </c>
    </row>
    <row r="1077" spans="1:10" x14ac:dyDescent="0.45">
      <c r="A1077" t="s">
        <v>1138</v>
      </c>
      <c r="B1077" t="s">
        <v>171</v>
      </c>
      <c r="C1077" t="s">
        <v>16</v>
      </c>
      <c r="D1077" t="s">
        <v>32</v>
      </c>
      <c r="E1077">
        <v>16</v>
      </c>
      <c r="F1077">
        <v>40</v>
      </c>
      <c r="G1077">
        <v>640</v>
      </c>
      <c r="H1077">
        <v>0.09</v>
      </c>
      <c r="I1077">
        <v>57.599999999999994</v>
      </c>
      <c r="J1077" t="s">
        <v>42</v>
      </c>
    </row>
    <row r="1078" spans="1:10" x14ac:dyDescent="0.45">
      <c r="A1078" t="s">
        <v>1139</v>
      </c>
      <c r="B1078" t="s">
        <v>171</v>
      </c>
      <c r="C1078" t="s">
        <v>31</v>
      </c>
      <c r="D1078" t="s">
        <v>17</v>
      </c>
      <c r="E1078">
        <v>7</v>
      </c>
      <c r="F1078">
        <v>16</v>
      </c>
      <c r="G1078">
        <v>112</v>
      </c>
      <c r="H1078">
        <v>0.08</v>
      </c>
      <c r="I1078">
        <v>8.9600000000000009</v>
      </c>
      <c r="J1078" t="s">
        <v>45</v>
      </c>
    </row>
    <row r="1079" spans="1:10" x14ac:dyDescent="0.45">
      <c r="A1079" t="s">
        <v>1140</v>
      </c>
      <c r="B1079" t="s">
        <v>171</v>
      </c>
      <c r="C1079" t="s">
        <v>16</v>
      </c>
      <c r="D1079" t="s">
        <v>17</v>
      </c>
      <c r="E1079">
        <v>19</v>
      </c>
      <c r="F1079">
        <v>40</v>
      </c>
      <c r="G1079">
        <v>760</v>
      </c>
      <c r="H1079">
        <v>0.1</v>
      </c>
      <c r="I1079">
        <v>76</v>
      </c>
      <c r="J1079" t="s">
        <v>14</v>
      </c>
    </row>
    <row r="1080" spans="1:10" x14ac:dyDescent="0.45">
      <c r="A1080" t="s">
        <v>1141</v>
      </c>
      <c r="B1080" t="s">
        <v>171</v>
      </c>
      <c r="C1080" t="s">
        <v>20</v>
      </c>
      <c r="D1080" t="s">
        <v>28</v>
      </c>
      <c r="E1080">
        <v>7</v>
      </c>
      <c r="F1080">
        <v>230</v>
      </c>
      <c r="G1080">
        <v>1610</v>
      </c>
      <c r="H1080">
        <v>0.06</v>
      </c>
      <c r="I1080">
        <v>96.6</v>
      </c>
      <c r="J1080" t="s">
        <v>18</v>
      </c>
    </row>
    <row r="1081" spans="1:10" x14ac:dyDescent="0.45">
      <c r="A1081" t="s">
        <v>1142</v>
      </c>
      <c r="B1081" t="s">
        <v>171</v>
      </c>
      <c r="C1081" t="s">
        <v>16</v>
      </c>
      <c r="D1081" t="s">
        <v>32</v>
      </c>
      <c r="E1081">
        <v>20</v>
      </c>
      <c r="F1081">
        <v>40</v>
      </c>
      <c r="G1081">
        <v>800</v>
      </c>
      <c r="H1081">
        <v>0.03</v>
      </c>
      <c r="I1081">
        <v>24</v>
      </c>
      <c r="J1081" t="s">
        <v>21</v>
      </c>
    </row>
    <row r="1082" spans="1:10" x14ac:dyDescent="0.45">
      <c r="A1082" t="s">
        <v>1143</v>
      </c>
      <c r="B1082" t="s">
        <v>171</v>
      </c>
      <c r="C1082" t="s">
        <v>31</v>
      </c>
      <c r="D1082" t="s">
        <v>25</v>
      </c>
      <c r="E1082">
        <v>11</v>
      </c>
      <c r="F1082">
        <v>16</v>
      </c>
      <c r="G1082">
        <v>176</v>
      </c>
      <c r="H1082">
        <v>0.12</v>
      </c>
      <c r="I1082">
        <v>21.119999999999997</v>
      </c>
      <c r="J1082" t="s">
        <v>23</v>
      </c>
    </row>
    <row r="1083" spans="1:10" x14ac:dyDescent="0.45">
      <c r="A1083" t="s">
        <v>1144</v>
      </c>
      <c r="B1083" t="s">
        <v>171</v>
      </c>
      <c r="C1083" t="s">
        <v>12</v>
      </c>
      <c r="D1083" t="s">
        <v>32</v>
      </c>
      <c r="E1083">
        <v>16</v>
      </c>
      <c r="F1083">
        <v>80</v>
      </c>
      <c r="G1083">
        <v>1280</v>
      </c>
      <c r="H1083">
        <v>0.09</v>
      </c>
      <c r="I1083">
        <v>115.19999999999999</v>
      </c>
      <c r="J1083" t="s">
        <v>26</v>
      </c>
    </row>
    <row r="1084" spans="1:10" x14ac:dyDescent="0.45">
      <c r="A1084" t="s">
        <v>1145</v>
      </c>
      <c r="B1084" t="s">
        <v>171</v>
      </c>
      <c r="C1084" t="s">
        <v>31</v>
      </c>
      <c r="D1084" t="s">
        <v>13</v>
      </c>
      <c r="E1084">
        <v>21</v>
      </c>
      <c r="F1084">
        <v>16</v>
      </c>
      <c r="G1084">
        <v>336</v>
      </c>
      <c r="H1084">
        <v>0.09</v>
      </c>
      <c r="I1084">
        <v>30.24</v>
      </c>
      <c r="J1084" t="s">
        <v>29</v>
      </c>
    </row>
    <row r="1085" spans="1:10" x14ac:dyDescent="0.45">
      <c r="A1085" t="s">
        <v>1146</v>
      </c>
      <c r="B1085" t="s">
        <v>171</v>
      </c>
      <c r="C1085" t="s">
        <v>31</v>
      </c>
      <c r="D1085" t="s">
        <v>13</v>
      </c>
      <c r="E1085">
        <v>22</v>
      </c>
      <c r="F1085">
        <v>16</v>
      </c>
      <c r="G1085">
        <v>352</v>
      </c>
      <c r="H1085">
        <v>0.01</v>
      </c>
      <c r="I1085">
        <v>3.52</v>
      </c>
      <c r="J1085" t="s">
        <v>18</v>
      </c>
    </row>
    <row r="1086" spans="1:10" x14ac:dyDescent="0.45">
      <c r="A1086" t="s">
        <v>1147</v>
      </c>
      <c r="B1086" t="s">
        <v>171</v>
      </c>
      <c r="C1086" t="s">
        <v>20</v>
      </c>
      <c r="D1086" t="s">
        <v>28</v>
      </c>
      <c r="E1086">
        <v>23</v>
      </c>
      <c r="F1086">
        <v>230</v>
      </c>
      <c r="G1086">
        <v>5290</v>
      </c>
      <c r="H1086">
        <v>0.06</v>
      </c>
      <c r="I1086">
        <v>317.39999999999998</v>
      </c>
      <c r="J1086" t="s">
        <v>21</v>
      </c>
    </row>
    <row r="1087" spans="1:10" x14ac:dyDescent="0.45">
      <c r="A1087" t="s">
        <v>1148</v>
      </c>
      <c r="B1087" t="s">
        <v>171</v>
      </c>
      <c r="C1087" t="s">
        <v>35</v>
      </c>
      <c r="D1087" t="s">
        <v>13</v>
      </c>
      <c r="E1087">
        <v>9</v>
      </c>
      <c r="F1087">
        <v>150</v>
      </c>
      <c r="G1087">
        <v>1350</v>
      </c>
      <c r="H1087">
        <v>0.1</v>
      </c>
      <c r="I1087">
        <v>135</v>
      </c>
      <c r="J1087" t="s">
        <v>23</v>
      </c>
    </row>
    <row r="1088" spans="1:10" x14ac:dyDescent="0.45">
      <c r="A1088" t="s">
        <v>1149</v>
      </c>
      <c r="B1088" t="s">
        <v>171</v>
      </c>
      <c r="C1088" t="s">
        <v>35</v>
      </c>
      <c r="D1088" t="s">
        <v>25</v>
      </c>
      <c r="E1088">
        <v>9</v>
      </c>
      <c r="F1088">
        <v>150</v>
      </c>
      <c r="G1088">
        <v>1350</v>
      </c>
      <c r="H1088">
        <v>0.06</v>
      </c>
      <c r="I1088">
        <v>81</v>
      </c>
      <c r="J1088" t="s">
        <v>26</v>
      </c>
    </row>
    <row r="1089" spans="1:10" x14ac:dyDescent="0.45">
      <c r="A1089" t="s">
        <v>1150</v>
      </c>
      <c r="B1089" t="s">
        <v>182</v>
      </c>
      <c r="C1089" t="s">
        <v>20</v>
      </c>
      <c r="D1089" t="s">
        <v>13</v>
      </c>
      <c r="E1089">
        <v>9</v>
      </c>
      <c r="F1089">
        <v>230</v>
      </c>
      <c r="G1089">
        <v>2070</v>
      </c>
      <c r="H1089">
        <v>7.0000000000000007E-2</v>
      </c>
      <c r="I1089">
        <v>144.9</v>
      </c>
      <c r="J1089" t="s">
        <v>29</v>
      </c>
    </row>
    <row r="1090" spans="1:10" x14ac:dyDescent="0.45">
      <c r="A1090" t="s">
        <v>1151</v>
      </c>
      <c r="B1090" t="s">
        <v>182</v>
      </c>
      <c r="C1090" t="s">
        <v>12</v>
      </c>
      <c r="D1090" t="s">
        <v>25</v>
      </c>
      <c r="E1090">
        <v>10</v>
      </c>
      <c r="F1090">
        <v>80</v>
      </c>
      <c r="G1090">
        <v>800</v>
      </c>
      <c r="H1090">
        <v>0.08</v>
      </c>
      <c r="I1090">
        <v>64</v>
      </c>
      <c r="J1090" t="s">
        <v>33</v>
      </c>
    </row>
    <row r="1091" spans="1:10" x14ac:dyDescent="0.45">
      <c r="A1091" t="s">
        <v>1152</v>
      </c>
      <c r="B1091" t="s">
        <v>182</v>
      </c>
      <c r="C1091" t="s">
        <v>31</v>
      </c>
      <c r="D1091" t="s">
        <v>25</v>
      </c>
      <c r="E1091">
        <v>23</v>
      </c>
      <c r="F1091">
        <v>16</v>
      </c>
      <c r="G1091">
        <v>368</v>
      </c>
      <c r="H1091">
        <v>0.11</v>
      </c>
      <c r="I1091">
        <v>40.479999999999997</v>
      </c>
      <c r="J1091" t="s">
        <v>36</v>
      </c>
    </row>
    <row r="1092" spans="1:10" x14ac:dyDescent="0.45">
      <c r="A1092" t="s">
        <v>1153</v>
      </c>
      <c r="B1092" t="s">
        <v>182</v>
      </c>
      <c r="C1092" t="s">
        <v>12</v>
      </c>
      <c r="D1092" t="s">
        <v>28</v>
      </c>
      <c r="E1092">
        <v>22</v>
      </c>
      <c r="F1092">
        <v>80</v>
      </c>
      <c r="G1092">
        <v>1760</v>
      </c>
      <c r="H1092">
        <v>0.03</v>
      </c>
      <c r="I1092">
        <v>52.8</v>
      </c>
      <c r="J1092" t="s">
        <v>38</v>
      </c>
    </row>
    <row r="1093" spans="1:10" x14ac:dyDescent="0.45">
      <c r="A1093" t="s">
        <v>1154</v>
      </c>
      <c r="B1093" t="s">
        <v>182</v>
      </c>
      <c r="C1093" t="s">
        <v>12</v>
      </c>
      <c r="D1093" t="s">
        <v>28</v>
      </c>
      <c r="E1093">
        <v>4</v>
      </c>
      <c r="F1093">
        <v>80</v>
      </c>
      <c r="G1093">
        <v>320</v>
      </c>
      <c r="H1093">
        <v>0.11</v>
      </c>
      <c r="I1093">
        <v>35.200000000000003</v>
      </c>
      <c r="J1093" t="s">
        <v>40</v>
      </c>
    </row>
    <row r="1094" spans="1:10" x14ac:dyDescent="0.45">
      <c r="A1094" t="s">
        <v>1155</v>
      </c>
      <c r="B1094" t="s">
        <v>182</v>
      </c>
      <c r="C1094" t="s">
        <v>31</v>
      </c>
      <c r="D1094" t="s">
        <v>13</v>
      </c>
      <c r="E1094">
        <v>22</v>
      </c>
      <c r="F1094">
        <v>16</v>
      </c>
      <c r="G1094">
        <v>352</v>
      </c>
      <c r="H1094">
        <v>0.06</v>
      </c>
      <c r="I1094">
        <v>21.119999999999997</v>
      </c>
      <c r="J1094" t="s">
        <v>42</v>
      </c>
    </row>
    <row r="1095" spans="1:10" x14ac:dyDescent="0.45">
      <c r="A1095" t="s">
        <v>1156</v>
      </c>
      <c r="B1095" t="s">
        <v>182</v>
      </c>
      <c r="C1095" t="s">
        <v>16</v>
      </c>
      <c r="D1095" t="s">
        <v>17</v>
      </c>
      <c r="E1095">
        <v>15</v>
      </c>
      <c r="F1095">
        <v>40</v>
      </c>
      <c r="G1095">
        <v>600</v>
      </c>
      <c r="H1095">
        <v>0.02</v>
      </c>
      <c r="I1095">
        <v>12</v>
      </c>
      <c r="J1095" t="s">
        <v>45</v>
      </c>
    </row>
    <row r="1096" spans="1:10" x14ac:dyDescent="0.45">
      <c r="A1096" t="s">
        <v>1157</v>
      </c>
      <c r="B1096" t="s">
        <v>182</v>
      </c>
      <c r="C1096" t="s">
        <v>16</v>
      </c>
      <c r="D1096" t="s">
        <v>32</v>
      </c>
      <c r="E1096">
        <v>7</v>
      </c>
      <c r="F1096">
        <v>40</v>
      </c>
      <c r="G1096">
        <v>280</v>
      </c>
      <c r="H1096">
        <v>0.04</v>
      </c>
      <c r="I1096">
        <v>11.200000000000001</v>
      </c>
      <c r="J1096" t="s">
        <v>14</v>
      </c>
    </row>
    <row r="1097" spans="1:10" x14ac:dyDescent="0.45">
      <c r="A1097" t="s">
        <v>1158</v>
      </c>
      <c r="B1097" t="s">
        <v>182</v>
      </c>
      <c r="C1097" t="s">
        <v>31</v>
      </c>
      <c r="D1097" t="s">
        <v>32</v>
      </c>
      <c r="E1097">
        <v>2</v>
      </c>
      <c r="F1097">
        <v>16</v>
      </c>
      <c r="G1097">
        <v>32</v>
      </c>
      <c r="H1097">
        <v>0.04</v>
      </c>
      <c r="I1097">
        <v>1.28</v>
      </c>
      <c r="J1097" t="s">
        <v>18</v>
      </c>
    </row>
    <row r="1098" spans="1:10" x14ac:dyDescent="0.45">
      <c r="A1098" t="s">
        <v>1159</v>
      </c>
      <c r="B1098" t="s">
        <v>182</v>
      </c>
      <c r="C1098" t="s">
        <v>12</v>
      </c>
      <c r="D1098" t="s">
        <v>28</v>
      </c>
      <c r="E1098">
        <v>7</v>
      </c>
      <c r="F1098">
        <v>80</v>
      </c>
      <c r="G1098">
        <v>560</v>
      </c>
      <c r="H1098">
        <v>0.02</v>
      </c>
      <c r="I1098">
        <v>11.200000000000001</v>
      </c>
      <c r="J1098" t="s">
        <v>21</v>
      </c>
    </row>
    <row r="1099" spans="1:10" x14ac:dyDescent="0.45">
      <c r="A1099" t="s">
        <v>1160</v>
      </c>
      <c r="B1099" t="s">
        <v>194</v>
      </c>
      <c r="C1099" t="s">
        <v>31</v>
      </c>
      <c r="D1099" t="s">
        <v>32</v>
      </c>
      <c r="E1099">
        <v>22</v>
      </c>
      <c r="F1099">
        <v>16</v>
      </c>
      <c r="G1099">
        <v>352</v>
      </c>
      <c r="H1099">
        <v>0.12</v>
      </c>
      <c r="I1099">
        <v>42.239999999999995</v>
      </c>
      <c r="J1099" t="s">
        <v>23</v>
      </c>
    </row>
    <row r="1100" spans="1:10" x14ac:dyDescent="0.45">
      <c r="A1100" t="s">
        <v>1161</v>
      </c>
      <c r="B1100" t="s">
        <v>194</v>
      </c>
      <c r="C1100" t="s">
        <v>16</v>
      </c>
      <c r="D1100" t="s">
        <v>17</v>
      </c>
      <c r="E1100">
        <v>21</v>
      </c>
      <c r="F1100">
        <v>40</v>
      </c>
      <c r="G1100">
        <v>840</v>
      </c>
      <c r="H1100">
        <v>0.03</v>
      </c>
      <c r="I1100">
        <v>25.2</v>
      </c>
      <c r="J1100" t="s">
        <v>26</v>
      </c>
    </row>
    <row r="1101" spans="1:10" x14ac:dyDescent="0.45">
      <c r="A1101" t="s">
        <v>1162</v>
      </c>
      <c r="B1101" t="s">
        <v>194</v>
      </c>
      <c r="C1101" t="s">
        <v>12</v>
      </c>
      <c r="D1101" t="s">
        <v>13</v>
      </c>
      <c r="E1101">
        <v>6</v>
      </c>
      <c r="F1101">
        <v>80</v>
      </c>
      <c r="G1101">
        <v>480</v>
      </c>
      <c r="H1101">
        <v>0.01</v>
      </c>
      <c r="I1101">
        <v>4.8</v>
      </c>
      <c r="J1101" t="s">
        <v>29</v>
      </c>
    </row>
    <row r="1102" spans="1:10" x14ac:dyDescent="0.45">
      <c r="A1102" t="s">
        <v>1163</v>
      </c>
      <c r="B1102" t="s">
        <v>194</v>
      </c>
      <c r="C1102" t="s">
        <v>12</v>
      </c>
      <c r="D1102" t="s">
        <v>32</v>
      </c>
      <c r="E1102">
        <v>13</v>
      </c>
      <c r="F1102">
        <v>80</v>
      </c>
      <c r="G1102">
        <v>1040</v>
      </c>
      <c r="H1102">
        <v>0.05</v>
      </c>
      <c r="I1102">
        <v>52</v>
      </c>
      <c r="J1102" t="s">
        <v>18</v>
      </c>
    </row>
    <row r="1103" spans="1:10" x14ac:dyDescent="0.45">
      <c r="A1103" t="s">
        <v>1164</v>
      </c>
      <c r="B1103" t="s">
        <v>194</v>
      </c>
      <c r="C1103" t="s">
        <v>12</v>
      </c>
      <c r="D1103" t="s">
        <v>28</v>
      </c>
      <c r="E1103">
        <v>11</v>
      </c>
      <c r="F1103">
        <v>80</v>
      </c>
      <c r="G1103">
        <v>880</v>
      </c>
      <c r="H1103">
        <v>0.01</v>
      </c>
      <c r="I1103">
        <v>8.8000000000000007</v>
      </c>
      <c r="J1103" t="s">
        <v>21</v>
      </c>
    </row>
    <row r="1104" spans="1:10" x14ac:dyDescent="0.45">
      <c r="A1104" t="s">
        <v>1165</v>
      </c>
      <c r="B1104" t="s">
        <v>194</v>
      </c>
      <c r="C1104" t="s">
        <v>16</v>
      </c>
      <c r="D1104" t="s">
        <v>13</v>
      </c>
      <c r="E1104">
        <v>18</v>
      </c>
      <c r="F1104">
        <v>40</v>
      </c>
      <c r="G1104">
        <v>720</v>
      </c>
      <c r="H1104">
        <v>0.06</v>
      </c>
      <c r="I1104">
        <v>43.199999999999996</v>
      </c>
      <c r="J1104" t="s">
        <v>23</v>
      </c>
    </row>
    <row r="1105" spans="1:10" x14ac:dyDescent="0.45">
      <c r="A1105" t="s">
        <v>1166</v>
      </c>
      <c r="B1105" t="s">
        <v>194</v>
      </c>
      <c r="C1105" t="s">
        <v>35</v>
      </c>
      <c r="D1105" t="s">
        <v>28</v>
      </c>
      <c r="E1105">
        <v>7</v>
      </c>
      <c r="F1105">
        <v>150</v>
      </c>
      <c r="G1105">
        <v>1050</v>
      </c>
      <c r="H1105">
        <v>0.05</v>
      </c>
      <c r="I1105">
        <v>52.5</v>
      </c>
      <c r="J1105" t="s">
        <v>26</v>
      </c>
    </row>
    <row r="1106" spans="1:10" x14ac:dyDescent="0.45">
      <c r="A1106" t="s">
        <v>1167</v>
      </c>
      <c r="B1106" t="s">
        <v>194</v>
      </c>
      <c r="C1106" t="s">
        <v>16</v>
      </c>
      <c r="D1106" t="s">
        <v>13</v>
      </c>
      <c r="E1106">
        <v>2</v>
      </c>
      <c r="F1106">
        <v>40</v>
      </c>
      <c r="G1106">
        <v>80</v>
      </c>
      <c r="H1106">
        <v>0.12</v>
      </c>
      <c r="I1106">
        <v>9.6</v>
      </c>
      <c r="J1106" t="s">
        <v>29</v>
      </c>
    </row>
    <row r="1107" spans="1:10" x14ac:dyDescent="0.45">
      <c r="A1107" t="s">
        <v>1168</v>
      </c>
      <c r="B1107" t="s">
        <v>194</v>
      </c>
      <c r="C1107" t="s">
        <v>12</v>
      </c>
      <c r="D1107" t="s">
        <v>17</v>
      </c>
      <c r="E1107">
        <v>14</v>
      </c>
      <c r="F1107">
        <v>80</v>
      </c>
      <c r="G1107">
        <v>1120</v>
      </c>
      <c r="H1107">
        <v>0.06</v>
      </c>
      <c r="I1107">
        <v>67.2</v>
      </c>
      <c r="J1107" t="s">
        <v>33</v>
      </c>
    </row>
    <row r="1108" spans="1:10" x14ac:dyDescent="0.45">
      <c r="A1108" t="s">
        <v>1169</v>
      </c>
      <c r="B1108" t="s">
        <v>194</v>
      </c>
      <c r="C1108" t="s">
        <v>35</v>
      </c>
      <c r="D1108" t="s">
        <v>32</v>
      </c>
      <c r="E1108">
        <v>7</v>
      </c>
      <c r="F1108">
        <v>150</v>
      </c>
      <c r="G1108">
        <v>1050</v>
      </c>
      <c r="H1108">
        <v>0.03</v>
      </c>
      <c r="I1108">
        <v>31.5</v>
      </c>
      <c r="J1108" t="s">
        <v>36</v>
      </c>
    </row>
    <row r="1109" spans="1:10" x14ac:dyDescent="0.45">
      <c r="A1109" t="s">
        <v>1170</v>
      </c>
      <c r="B1109" t="s">
        <v>194</v>
      </c>
      <c r="C1109" t="s">
        <v>31</v>
      </c>
      <c r="D1109" t="s">
        <v>28</v>
      </c>
      <c r="E1109">
        <v>10</v>
      </c>
      <c r="F1109">
        <v>16</v>
      </c>
      <c r="G1109">
        <v>160</v>
      </c>
      <c r="H1109">
        <v>0.01</v>
      </c>
      <c r="I1109">
        <v>1.6</v>
      </c>
      <c r="J1109" t="s">
        <v>38</v>
      </c>
    </row>
    <row r="1110" spans="1:10" x14ac:dyDescent="0.45">
      <c r="A1110" t="s">
        <v>1171</v>
      </c>
      <c r="B1110" t="s">
        <v>210</v>
      </c>
      <c r="C1110" t="s">
        <v>16</v>
      </c>
      <c r="D1110" t="s">
        <v>17</v>
      </c>
      <c r="E1110">
        <v>7</v>
      </c>
      <c r="F1110">
        <v>40</v>
      </c>
      <c r="G1110">
        <v>280</v>
      </c>
      <c r="H1110">
        <v>0.01</v>
      </c>
      <c r="I1110">
        <v>2.8000000000000003</v>
      </c>
      <c r="J1110" t="s">
        <v>40</v>
      </c>
    </row>
    <row r="1111" spans="1:10" x14ac:dyDescent="0.45">
      <c r="A1111" t="s">
        <v>1172</v>
      </c>
      <c r="B1111" t="s">
        <v>210</v>
      </c>
      <c r="C1111" t="s">
        <v>31</v>
      </c>
      <c r="D1111" t="s">
        <v>28</v>
      </c>
      <c r="E1111">
        <v>7</v>
      </c>
      <c r="F1111">
        <v>16</v>
      </c>
      <c r="G1111">
        <v>112</v>
      </c>
      <c r="H1111">
        <v>0.08</v>
      </c>
      <c r="I1111">
        <v>8.9600000000000009</v>
      </c>
      <c r="J1111" t="s">
        <v>42</v>
      </c>
    </row>
    <row r="1112" spans="1:10" x14ac:dyDescent="0.45">
      <c r="A1112" t="s">
        <v>1173</v>
      </c>
      <c r="B1112" t="s">
        <v>210</v>
      </c>
      <c r="C1112" t="s">
        <v>35</v>
      </c>
      <c r="D1112" t="s">
        <v>25</v>
      </c>
      <c r="E1112">
        <v>15</v>
      </c>
      <c r="F1112">
        <v>150</v>
      </c>
      <c r="G1112">
        <v>2250</v>
      </c>
      <c r="H1112">
        <v>0.05</v>
      </c>
      <c r="I1112">
        <v>112.5</v>
      </c>
      <c r="J1112" t="s">
        <v>45</v>
      </c>
    </row>
    <row r="1113" spans="1:10" x14ac:dyDescent="0.45">
      <c r="A1113" t="s">
        <v>1174</v>
      </c>
      <c r="B1113" t="s">
        <v>210</v>
      </c>
      <c r="C1113" t="s">
        <v>12</v>
      </c>
      <c r="D1113" t="s">
        <v>13</v>
      </c>
      <c r="E1113">
        <v>7</v>
      </c>
      <c r="F1113">
        <v>80</v>
      </c>
      <c r="G1113">
        <v>560</v>
      </c>
      <c r="H1113">
        <v>0.02</v>
      </c>
      <c r="I1113">
        <v>11.200000000000001</v>
      </c>
      <c r="J1113" t="s">
        <v>14</v>
      </c>
    </row>
    <row r="1114" spans="1:10" x14ac:dyDescent="0.45">
      <c r="A1114" t="s">
        <v>1175</v>
      </c>
      <c r="B1114" t="s">
        <v>210</v>
      </c>
      <c r="C1114" t="s">
        <v>16</v>
      </c>
      <c r="D1114" t="s">
        <v>25</v>
      </c>
      <c r="E1114">
        <v>6</v>
      </c>
      <c r="F1114">
        <v>40</v>
      </c>
      <c r="G1114">
        <v>240</v>
      </c>
      <c r="H1114">
        <v>0.06</v>
      </c>
      <c r="I1114">
        <v>14.399999999999999</v>
      </c>
      <c r="J1114" t="s">
        <v>18</v>
      </c>
    </row>
    <row r="1115" spans="1:10" x14ac:dyDescent="0.45">
      <c r="A1115" t="s">
        <v>1176</v>
      </c>
      <c r="B1115" t="s">
        <v>210</v>
      </c>
      <c r="C1115" t="s">
        <v>20</v>
      </c>
      <c r="D1115" t="s">
        <v>13</v>
      </c>
      <c r="E1115">
        <v>3</v>
      </c>
      <c r="F1115">
        <v>230</v>
      </c>
      <c r="G1115">
        <v>690</v>
      </c>
      <c r="H1115">
        <v>0.06</v>
      </c>
      <c r="I1115">
        <v>41.4</v>
      </c>
      <c r="J1115" t="s">
        <v>21</v>
      </c>
    </row>
    <row r="1116" spans="1:10" x14ac:dyDescent="0.45">
      <c r="A1116" t="s">
        <v>1177</v>
      </c>
      <c r="B1116" t="s">
        <v>210</v>
      </c>
      <c r="C1116" t="s">
        <v>35</v>
      </c>
      <c r="D1116" t="s">
        <v>25</v>
      </c>
      <c r="E1116">
        <v>20</v>
      </c>
      <c r="F1116">
        <v>150</v>
      </c>
      <c r="G1116">
        <v>3000</v>
      </c>
      <c r="H1116">
        <v>0.04</v>
      </c>
      <c r="I1116">
        <v>120</v>
      </c>
      <c r="J1116" t="s">
        <v>23</v>
      </c>
    </row>
    <row r="1117" spans="1:10" x14ac:dyDescent="0.45">
      <c r="A1117" t="s">
        <v>1178</v>
      </c>
      <c r="B1117" t="s">
        <v>210</v>
      </c>
      <c r="C1117" t="s">
        <v>20</v>
      </c>
      <c r="D1117" t="s">
        <v>25</v>
      </c>
      <c r="E1117">
        <v>20</v>
      </c>
      <c r="F1117">
        <v>230</v>
      </c>
      <c r="G1117">
        <v>4600</v>
      </c>
      <c r="H1117">
        <v>0.06</v>
      </c>
      <c r="I1117">
        <v>276</v>
      </c>
      <c r="J1117" t="s">
        <v>26</v>
      </c>
    </row>
    <row r="1118" spans="1:10" x14ac:dyDescent="0.45">
      <c r="A1118" t="s">
        <v>1179</v>
      </c>
      <c r="B1118" t="s">
        <v>210</v>
      </c>
      <c r="C1118" t="s">
        <v>31</v>
      </c>
      <c r="D1118" t="s">
        <v>25</v>
      </c>
      <c r="E1118">
        <v>14</v>
      </c>
      <c r="F1118">
        <v>16</v>
      </c>
      <c r="G1118">
        <v>224</v>
      </c>
      <c r="H1118">
        <v>0.01</v>
      </c>
      <c r="I1118">
        <v>2.2400000000000002</v>
      </c>
      <c r="J1118" t="s">
        <v>29</v>
      </c>
    </row>
    <row r="1119" spans="1:10" x14ac:dyDescent="0.45">
      <c r="A1119" t="s">
        <v>1180</v>
      </c>
      <c r="B1119" t="s">
        <v>210</v>
      </c>
      <c r="C1119" t="s">
        <v>35</v>
      </c>
      <c r="D1119" t="s">
        <v>25</v>
      </c>
      <c r="E1119">
        <v>20</v>
      </c>
      <c r="F1119">
        <v>150</v>
      </c>
      <c r="G1119">
        <v>3000</v>
      </c>
      <c r="H1119">
        <v>0.04</v>
      </c>
      <c r="I1119">
        <v>120</v>
      </c>
      <c r="J1119" t="s">
        <v>18</v>
      </c>
    </row>
    <row r="1120" spans="1:10" x14ac:dyDescent="0.45">
      <c r="A1120" t="s">
        <v>1181</v>
      </c>
      <c r="B1120" t="s">
        <v>210</v>
      </c>
      <c r="C1120" t="s">
        <v>12</v>
      </c>
      <c r="D1120" t="s">
        <v>13</v>
      </c>
      <c r="E1120">
        <v>17</v>
      </c>
      <c r="F1120">
        <v>80</v>
      </c>
      <c r="G1120">
        <v>1360</v>
      </c>
      <c r="H1120">
        <v>0.09</v>
      </c>
      <c r="I1120">
        <v>122.39999999999999</v>
      </c>
      <c r="J1120" t="s">
        <v>21</v>
      </c>
    </row>
    <row r="1121" spans="1:10" x14ac:dyDescent="0.45">
      <c r="A1121" t="s">
        <v>1182</v>
      </c>
      <c r="B1121" t="s">
        <v>222</v>
      </c>
      <c r="C1121" t="s">
        <v>35</v>
      </c>
      <c r="D1121" t="s">
        <v>25</v>
      </c>
      <c r="E1121">
        <v>20</v>
      </c>
      <c r="F1121">
        <v>150</v>
      </c>
      <c r="G1121">
        <v>3000</v>
      </c>
      <c r="H1121">
        <v>0.12</v>
      </c>
      <c r="I1121">
        <v>360</v>
      </c>
      <c r="J1121" t="s">
        <v>23</v>
      </c>
    </row>
    <row r="1122" spans="1:10" x14ac:dyDescent="0.45">
      <c r="A1122" t="s">
        <v>1183</v>
      </c>
      <c r="B1122" t="s">
        <v>222</v>
      </c>
      <c r="C1122" t="s">
        <v>31</v>
      </c>
      <c r="D1122" t="s">
        <v>25</v>
      </c>
      <c r="E1122">
        <v>11</v>
      </c>
      <c r="F1122">
        <v>16</v>
      </c>
      <c r="G1122">
        <v>176</v>
      </c>
      <c r="H1122">
        <v>0.04</v>
      </c>
      <c r="I1122">
        <v>7.04</v>
      </c>
      <c r="J1122" t="s">
        <v>26</v>
      </c>
    </row>
    <row r="1123" spans="1:10" x14ac:dyDescent="0.45">
      <c r="A1123" t="s">
        <v>1184</v>
      </c>
      <c r="B1123" t="s">
        <v>222</v>
      </c>
      <c r="C1123" t="s">
        <v>20</v>
      </c>
      <c r="D1123" t="s">
        <v>32</v>
      </c>
      <c r="E1123">
        <v>7</v>
      </c>
      <c r="F1123">
        <v>230</v>
      </c>
      <c r="G1123">
        <v>1610</v>
      </c>
      <c r="H1123">
        <v>0.05</v>
      </c>
      <c r="I1123">
        <v>80.5</v>
      </c>
      <c r="J1123" t="s">
        <v>29</v>
      </c>
    </row>
    <row r="1124" spans="1:10" x14ac:dyDescent="0.45">
      <c r="A1124" t="s">
        <v>1185</v>
      </c>
      <c r="B1124" t="s">
        <v>222</v>
      </c>
      <c r="C1124" t="s">
        <v>16</v>
      </c>
      <c r="D1124" t="s">
        <v>17</v>
      </c>
      <c r="E1124">
        <v>14</v>
      </c>
      <c r="F1124">
        <v>40</v>
      </c>
      <c r="G1124">
        <v>560</v>
      </c>
      <c r="H1124">
        <v>0.06</v>
      </c>
      <c r="I1124">
        <v>33.6</v>
      </c>
      <c r="J1124" t="s">
        <v>33</v>
      </c>
    </row>
    <row r="1125" spans="1:10" x14ac:dyDescent="0.45">
      <c r="A1125" t="s">
        <v>1186</v>
      </c>
      <c r="B1125" t="s">
        <v>222</v>
      </c>
      <c r="C1125" t="s">
        <v>12</v>
      </c>
      <c r="D1125" t="s">
        <v>17</v>
      </c>
      <c r="E1125">
        <v>13</v>
      </c>
      <c r="F1125">
        <v>80</v>
      </c>
      <c r="G1125">
        <v>1040</v>
      </c>
      <c r="H1125">
        <v>0.06</v>
      </c>
      <c r="I1125">
        <v>62.4</v>
      </c>
      <c r="J1125" t="s">
        <v>36</v>
      </c>
    </row>
    <row r="1126" spans="1:10" x14ac:dyDescent="0.45">
      <c r="A1126" t="s">
        <v>1187</v>
      </c>
      <c r="B1126" t="s">
        <v>222</v>
      </c>
      <c r="C1126" t="s">
        <v>31</v>
      </c>
      <c r="D1126" t="s">
        <v>25</v>
      </c>
      <c r="E1126">
        <v>17</v>
      </c>
      <c r="F1126">
        <v>16</v>
      </c>
      <c r="G1126">
        <v>272</v>
      </c>
      <c r="H1126">
        <v>0.05</v>
      </c>
      <c r="I1126">
        <v>13.600000000000001</v>
      </c>
      <c r="J1126" t="s">
        <v>38</v>
      </c>
    </row>
    <row r="1127" spans="1:10" x14ac:dyDescent="0.45">
      <c r="A1127" t="s">
        <v>1188</v>
      </c>
      <c r="B1127" t="s">
        <v>222</v>
      </c>
      <c r="C1127" t="s">
        <v>20</v>
      </c>
      <c r="D1127" t="s">
        <v>25</v>
      </c>
      <c r="E1127">
        <v>12</v>
      </c>
      <c r="F1127">
        <v>230</v>
      </c>
      <c r="G1127">
        <v>2760</v>
      </c>
      <c r="H1127">
        <v>0.03</v>
      </c>
      <c r="I1127">
        <v>82.8</v>
      </c>
      <c r="J1127" t="s">
        <v>40</v>
      </c>
    </row>
    <row r="1128" spans="1:10" x14ac:dyDescent="0.45">
      <c r="A1128" t="s">
        <v>1189</v>
      </c>
      <c r="B1128" t="s">
        <v>222</v>
      </c>
      <c r="C1128" t="s">
        <v>16</v>
      </c>
      <c r="D1128" t="s">
        <v>17</v>
      </c>
      <c r="E1128">
        <v>4</v>
      </c>
      <c r="F1128">
        <v>40</v>
      </c>
      <c r="G1128">
        <v>160</v>
      </c>
      <c r="H1128">
        <v>0.12</v>
      </c>
      <c r="I1128">
        <v>19.2</v>
      </c>
      <c r="J1128" t="s">
        <v>42</v>
      </c>
    </row>
    <row r="1129" spans="1:10" x14ac:dyDescent="0.45">
      <c r="A1129" t="s">
        <v>1190</v>
      </c>
      <c r="B1129" t="s">
        <v>222</v>
      </c>
      <c r="C1129" t="s">
        <v>31</v>
      </c>
      <c r="D1129" t="s">
        <v>13</v>
      </c>
      <c r="E1129">
        <v>20</v>
      </c>
      <c r="F1129">
        <v>16</v>
      </c>
      <c r="G1129">
        <v>320</v>
      </c>
      <c r="H1129">
        <v>0.01</v>
      </c>
      <c r="I1129">
        <v>3.2</v>
      </c>
      <c r="J1129" t="s">
        <v>45</v>
      </c>
    </row>
    <row r="1130" spans="1:10" x14ac:dyDescent="0.45">
      <c r="A1130" t="s">
        <v>1191</v>
      </c>
      <c r="B1130" t="s">
        <v>222</v>
      </c>
      <c r="C1130" t="s">
        <v>12</v>
      </c>
      <c r="D1130" t="s">
        <v>28</v>
      </c>
      <c r="E1130">
        <v>8</v>
      </c>
      <c r="F1130">
        <v>80</v>
      </c>
      <c r="G1130">
        <v>640</v>
      </c>
      <c r="H1130">
        <v>0.06</v>
      </c>
      <c r="I1130">
        <v>38.4</v>
      </c>
      <c r="J1130" t="s">
        <v>14</v>
      </c>
    </row>
    <row r="1131" spans="1:10" x14ac:dyDescent="0.45">
      <c r="A1131" t="s">
        <v>1192</v>
      </c>
      <c r="B1131" t="s">
        <v>222</v>
      </c>
      <c r="C1131" t="s">
        <v>12</v>
      </c>
      <c r="D1131" t="s">
        <v>13</v>
      </c>
      <c r="E1131">
        <v>18</v>
      </c>
      <c r="F1131">
        <v>80</v>
      </c>
      <c r="G1131">
        <v>1440</v>
      </c>
      <c r="H1131">
        <v>0.02</v>
      </c>
      <c r="I1131">
        <v>28.8</v>
      </c>
      <c r="J1131" t="s">
        <v>18</v>
      </c>
    </row>
    <row r="1132" spans="1:10" x14ac:dyDescent="0.45">
      <c r="A1132" t="s">
        <v>1193</v>
      </c>
      <c r="B1132" t="s">
        <v>222</v>
      </c>
      <c r="C1132" t="s">
        <v>31</v>
      </c>
      <c r="D1132" t="s">
        <v>25</v>
      </c>
      <c r="E1132">
        <v>6</v>
      </c>
      <c r="F1132">
        <v>16</v>
      </c>
      <c r="G1132">
        <v>96</v>
      </c>
      <c r="H1132">
        <v>0.06</v>
      </c>
      <c r="I1132">
        <v>5.76</v>
      </c>
      <c r="J1132" t="s">
        <v>21</v>
      </c>
    </row>
    <row r="1133" spans="1:10" x14ac:dyDescent="0.45">
      <c r="A1133" t="s">
        <v>1194</v>
      </c>
      <c r="B1133" t="s">
        <v>222</v>
      </c>
      <c r="C1133" t="s">
        <v>12</v>
      </c>
      <c r="D1133" t="s">
        <v>13</v>
      </c>
      <c r="E1133">
        <v>9</v>
      </c>
      <c r="F1133">
        <v>80</v>
      </c>
      <c r="G1133">
        <v>720</v>
      </c>
      <c r="H1133">
        <v>0.04</v>
      </c>
      <c r="I1133">
        <v>28.8</v>
      </c>
      <c r="J1133" t="s">
        <v>23</v>
      </c>
    </row>
    <row r="1134" spans="1:10" x14ac:dyDescent="0.45">
      <c r="A1134" t="s">
        <v>1195</v>
      </c>
      <c r="B1134" t="s">
        <v>236</v>
      </c>
      <c r="C1134" t="s">
        <v>12</v>
      </c>
      <c r="D1134" t="s">
        <v>25</v>
      </c>
      <c r="E1134">
        <v>8</v>
      </c>
      <c r="F1134">
        <v>80</v>
      </c>
      <c r="G1134">
        <v>640</v>
      </c>
      <c r="H1134">
        <v>0.02</v>
      </c>
      <c r="I1134">
        <v>12.8</v>
      </c>
      <c r="J1134" t="s">
        <v>26</v>
      </c>
    </row>
    <row r="1135" spans="1:10" x14ac:dyDescent="0.45">
      <c r="A1135" t="s">
        <v>1196</v>
      </c>
      <c r="B1135" t="s">
        <v>236</v>
      </c>
      <c r="C1135" t="s">
        <v>35</v>
      </c>
      <c r="D1135" t="s">
        <v>28</v>
      </c>
      <c r="E1135">
        <v>6</v>
      </c>
      <c r="F1135">
        <v>150</v>
      </c>
      <c r="G1135">
        <v>900</v>
      </c>
      <c r="H1135">
        <v>0.03</v>
      </c>
      <c r="I1135">
        <v>27</v>
      </c>
      <c r="J1135" t="s">
        <v>29</v>
      </c>
    </row>
    <row r="1136" spans="1:10" x14ac:dyDescent="0.45">
      <c r="A1136" t="s">
        <v>1197</v>
      </c>
      <c r="B1136" t="s">
        <v>236</v>
      </c>
      <c r="C1136" t="s">
        <v>31</v>
      </c>
      <c r="D1136" t="s">
        <v>28</v>
      </c>
      <c r="E1136">
        <v>14</v>
      </c>
      <c r="F1136">
        <v>16</v>
      </c>
      <c r="G1136">
        <v>224</v>
      </c>
      <c r="H1136">
        <v>0.12</v>
      </c>
      <c r="I1136">
        <v>26.88</v>
      </c>
      <c r="J1136" t="s">
        <v>18</v>
      </c>
    </row>
    <row r="1137" spans="1:10" x14ac:dyDescent="0.45">
      <c r="A1137" t="s">
        <v>1198</v>
      </c>
      <c r="B1137" t="s">
        <v>236</v>
      </c>
      <c r="C1137" t="s">
        <v>12</v>
      </c>
      <c r="D1137" t="s">
        <v>25</v>
      </c>
      <c r="E1137">
        <v>6</v>
      </c>
      <c r="F1137">
        <v>80</v>
      </c>
      <c r="G1137">
        <v>480</v>
      </c>
      <c r="H1137">
        <v>0.09</v>
      </c>
      <c r="I1137">
        <v>43.199999999999996</v>
      </c>
      <c r="J1137" t="s">
        <v>21</v>
      </c>
    </row>
    <row r="1138" spans="1:10" x14ac:dyDescent="0.45">
      <c r="A1138" t="s">
        <v>1199</v>
      </c>
      <c r="B1138" t="s">
        <v>236</v>
      </c>
      <c r="C1138" t="s">
        <v>16</v>
      </c>
      <c r="D1138" t="s">
        <v>32</v>
      </c>
      <c r="E1138">
        <v>23</v>
      </c>
      <c r="F1138">
        <v>40</v>
      </c>
      <c r="G1138">
        <v>920</v>
      </c>
      <c r="H1138">
        <v>0.04</v>
      </c>
      <c r="I1138">
        <v>36.800000000000004</v>
      </c>
      <c r="J1138" t="s">
        <v>23</v>
      </c>
    </row>
    <row r="1139" spans="1:10" x14ac:dyDescent="0.45">
      <c r="A1139" t="s">
        <v>1200</v>
      </c>
      <c r="B1139" t="s">
        <v>236</v>
      </c>
      <c r="C1139" t="s">
        <v>16</v>
      </c>
      <c r="D1139" t="s">
        <v>25</v>
      </c>
      <c r="E1139">
        <v>12</v>
      </c>
      <c r="F1139">
        <v>40</v>
      </c>
      <c r="G1139">
        <v>480</v>
      </c>
      <c r="H1139">
        <v>0.02</v>
      </c>
      <c r="I1139">
        <v>9.6</v>
      </c>
      <c r="J1139" t="s">
        <v>26</v>
      </c>
    </row>
    <row r="1140" spans="1:10" x14ac:dyDescent="0.45">
      <c r="A1140" t="s">
        <v>1201</v>
      </c>
      <c r="B1140" t="s">
        <v>236</v>
      </c>
      <c r="C1140" t="s">
        <v>16</v>
      </c>
      <c r="D1140" t="s">
        <v>28</v>
      </c>
      <c r="E1140">
        <v>22</v>
      </c>
      <c r="F1140">
        <v>40</v>
      </c>
      <c r="G1140">
        <v>880</v>
      </c>
      <c r="H1140">
        <v>0.01</v>
      </c>
      <c r="I1140">
        <v>8.8000000000000007</v>
      </c>
      <c r="J1140" t="s">
        <v>29</v>
      </c>
    </row>
    <row r="1141" spans="1:10" x14ac:dyDescent="0.45">
      <c r="A1141" t="s">
        <v>1202</v>
      </c>
      <c r="B1141" t="s">
        <v>236</v>
      </c>
      <c r="C1141" t="s">
        <v>35</v>
      </c>
      <c r="D1141" t="s">
        <v>28</v>
      </c>
      <c r="E1141">
        <v>6</v>
      </c>
      <c r="F1141">
        <v>150</v>
      </c>
      <c r="G1141">
        <v>900</v>
      </c>
      <c r="H1141">
        <v>0.03</v>
      </c>
      <c r="I1141">
        <v>27</v>
      </c>
      <c r="J1141" t="s">
        <v>33</v>
      </c>
    </row>
    <row r="1142" spans="1:10" x14ac:dyDescent="0.45">
      <c r="A1142" t="s">
        <v>1203</v>
      </c>
      <c r="B1142" t="s">
        <v>236</v>
      </c>
      <c r="C1142" t="s">
        <v>31</v>
      </c>
      <c r="D1142" t="s">
        <v>32</v>
      </c>
      <c r="E1142">
        <v>19</v>
      </c>
      <c r="F1142">
        <v>16</v>
      </c>
      <c r="G1142">
        <v>304</v>
      </c>
      <c r="H1142">
        <v>0.02</v>
      </c>
      <c r="I1142">
        <v>6.08</v>
      </c>
      <c r="J1142" t="s">
        <v>36</v>
      </c>
    </row>
    <row r="1143" spans="1:10" x14ac:dyDescent="0.45">
      <c r="A1143" t="s">
        <v>1204</v>
      </c>
      <c r="B1143" t="s">
        <v>236</v>
      </c>
      <c r="C1143" t="s">
        <v>16</v>
      </c>
      <c r="D1143" t="s">
        <v>25</v>
      </c>
      <c r="E1143">
        <v>2</v>
      </c>
      <c r="F1143">
        <v>40</v>
      </c>
      <c r="G1143">
        <v>80</v>
      </c>
      <c r="H1143">
        <v>0.02</v>
      </c>
      <c r="I1143">
        <v>1.6</v>
      </c>
      <c r="J1143" t="s">
        <v>38</v>
      </c>
    </row>
    <row r="1144" spans="1:10" x14ac:dyDescent="0.45">
      <c r="A1144" t="s">
        <v>1205</v>
      </c>
      <c r="B1144" t="s">
        <v>247</v>
      </c>
      <c r="C1144" t="s">
        <v>16</v>
      </c>
      <c r="D1144" t="s">
        <v>28</v>
      </c>
      <c r="E1144">
        <v>22</v>
      </c>
      <c r="F1144">
        <v>40</v>
      </c>
      <c r="G1144">
        <v>880</v>
      </c>
      <c r="H1144">
        <v>0.01</v>
      </c>
      <c r="I1144">
        <v>8.8000000000000007</v>
      </c>
      <c r="J1144" t="s">
        <v>40</v>
      </c>
    </row>
    <row r="1145" spans="1:10" x14ac:dyDescent="0.45">
      <c r="A1145" t="s">
        <v>1206</v>
      </c>
      <c r="B1145" t="s">
        <v>247</v>
      </c>
      <c r="C1145" t="s">
        <v>20</v>
      </c>
      <c r="D1145" t="s">
        <v>28</v>
      </c>
      <c r="E1145">
        <v>3</v>
      </c>
      <c r="F1145">
        <v>230</v>
      </c>
      <c r="G1145">
        <v>690</v>
      </c>
      <c r="H1145">
        <v>0.01</v>
      </c>
      <c r="I1145">
        <v>6.9</v>
      </c>
      <c r="J1145" t="s">
        <v>42</v>
      </c>
    </row>
    <row r="1146" spans="1:10" x14ac:dyDescent="0.45">
      <c r="A1146" t="s">
        <v>1207</v>
      </c>
      <c r="B1146" t="s">
        <v>247</v>
      </c>
      <c r="C1146" t="s">
        <v>16</v>
      </c>
      <c r="D1146" t="s">
        <v>28</v>
      </c>
      <c r="E1146">
        <v>23</v>
      </c>
      <c r="F1146">
        <v>40</v>
      </c>
      <c r="G1146">
        <v>920</v>
      </c>
      <c r="H1146">
        <v>0.06</v>
      </c>
      <c r="I1146">
        <v>55.199999999999996</v>
      </c>
      <c r="J1146" t="s">
        <v>45</v>
      </c>
    </row>
    <row r="1147" spans="1:10" x14ac:dyDescent="0.45">
      <c r="A1147" t="s">
        <v>1208</v>
      </c>
      <c r="B1147" t="s">
        <v>247</v>
      </c>
      <c r="C1147" t="s">
        <v>16</v>
      </c>
      <c r="D1147" t="s">
        <v>32</v>
      </c>
      <c r="E1147">
        <v>5</v>
      </c>
      <c r="F1147">
        <v>40</v>
      </c>
      <c r="G1147">
        <v>200</v>
      </c>
      <c r="H1147">
        <v>0.03</v>
      </c>
      <c r="I1147">
        <v>6</v>
      </c>
      <c r="J1147" t="s">
        <v>14</v>
      </c>
    </row>
    <row r="1148" spans="1:10" x14ac:dyDescent="0.45">
      <c r="A1148" t="s">
        <v>1209</v>
      </c>
      <c r="B1148" t="s">
        <v>247</v>
      </c>
      <c r="C1148" t="s">
        <v>12</v>
      </c>
      <c r="D1148" t="s">
        <v>13</v>
      </c>
      <c r="E1148">
        <v>8</v>
      </c>
      <c r="F1148">
        <v>80</v>
      </c>
      <c r="G1148">
        <v>640</v>
      </c>
      <c r="H1148">
        <v>0.08</v>
      </c>
      <c r="I1148">
        <v>51.2</v>
      </c>
      <c r="J1148" t="s">
        <v>18</v>
      </c>
    </row>
    <row r="1149" spans="1:10" x14ac:dyDescent="0.45">
      <c r="A1149" t="s">
        <v>1210</v>
      </c>
      <c r="B1149" t="s">
        <v>247</v>
      </c>
      <c r="C1149" t="s">
        <v>16</v>
      </c>
      <c r="D1149" t="s">
        <v>25</v>
      </c>
      <c r="E1149">
        <v>18</v>
      </c>
      <c r="F1149">
        <v>40</v>
      </c>
      <c r="G1149">
        <v>720</v>
      </c>
      <c r="H1149">
        <v>0.03</v>
      </c>
      <c r="I1149">
        <v>21.599999999999998</v>
      </c>
      <c r="J1149" t="s">
        <v>21</v>
      </c>
    </row>
    <row r="1150" spans="1:10" x14ac:dyDescent="0.45">
      <c r="A1150" t="s">
        <v>1211</v>
      </c>
      <c r="B1150" t="s">
        <v>247</v>
      </c>
      <c r="C1150" t="s">
        <v>16</v>
      </c>
      <c r="D1150" t="s">
        <v>32</v>
      </c>
      <c r="E1150">
        <v>20</v>
      </c>
      <c r="F1150">
        <v>40</v>
      </c>
      <c r="G1150">
        <v>800</v>
      </c>
      <c r="H1150">
        <v>0.1</v>
      </c>
      <c r="I1150">
        <v>80</v>
      </c>
      <c r="J1150" t="s">
        <v>23</v>
      </c>
    </row>
    <row r="1151" spans="1:10" x14ac:dyDescent="0.45">
      <c r="A1151" t="s">
        <v>1212</v>
      </c>
      <c r="B1151" t="s">
        <v>247</v>
      </c>
      <c r="C1151" t="s">
        <v>16</v>
      </c>
      <c r="D1151" t="s">
        <v>25</v>
      </c>
      <c r="E1151">
        <v>2</v>
      </c>
      <c r="F1151">
        <v>40</v>
      </c>
      <c r="G1151">
        <v>80</v>
      </c>
      <c r="H1151">
        <v>0.03</v>
      </c>
      <c r="I1151">
        <v>2.4</v>
      </c>
      <c r="J1151" t="s">
        <v>26</v>
      </c>
    </row>
    <row r="1152" spans="1:10" x14ac:dyDescent="0.45">
      <c r="A1152" t="s">
        <v>1213</v>
      </c>
      <c r="B1152" t="s">
        <v>247</v>
      </c>
      <c r="C1152" t="s">
        <v>20</v>
      </c>
      <c r="D1152" t="s">
        <v>13</v>
      </c>
      <c r="E1152">
        <v>15</v>
      </c>
      <c r="F1152">
        <v>230</v>
      </c>
      <c r="G1152">
        <v>3450</v>
      </c>
      <c r="H1152">
        <v>0.05</v>
      </c>
      <c r="I1152">
        <v>172.5</v>
      </c>
      <c r="J1152" t="s">
        <v>29</v>
      </c>
    </row>
    <row r="1153" spans="1:10" x14ac:dyDescent="0.45">
      <c r="A1153" t="s">
        <v>1214</v>
      </c>
      <c r="B1153" t="s">
        <v>247</v>
      </c>
      <c r="C1153" t="s">
        <v>35</v>
      </c>
      <c r="D1153" t="s">
        <v>28</v>
      </c>
      <c r="E1153">
        <v>15</v>
      </c>
      <c r="F1153">
        <v>150</v>
      </c>
      <c r="G1153">
        <v>2250</v>
      </c>
      <c r="H1153">
        <v>0.08</v>
      </c>
      <c r="I1153">
        <v>180</v>
      </c>
      <c r="J1153" t="s">
        <v>18</v>
      </c>
    </row>
    <row r="1154" spans="1:10" x14ac:dyDescent="0.45">
      <c r="A1154" t="s">
        <v>1215</v>
      </c>
      <c r="B1154" t="s">
        <v>247</v>
      </c>
      <c r="C1154" t="s">
        <v>35</v>
      </c>
      <c r="D1154" t="s">
        <v>28</v>
      </c>
      <c r="E1154">
        <v>22</v>
      </c>
      <c r="F1154">
        <v>150</v>
      </c>
      <c r="G1154">
        <v>3300</v>
      </c>
      <c r="H1154">
        <v>0.05</v>
      </c>
      <c r="I1154">
        <v>165</v>
      </c>
      <c r="J1154" t="s">
        <v>21</v>
      </c>
    </row>
    <row r="1155" spans="1:10" x14ac:dyDescent="0.45">
      <c r="A1155" t="s">
        <v>1216</v>
      </c>
      <c r="B1155" t="s">
        <v>247</v>
      </c>
      <c r="C1155" t="s">
        <v>20</v>
      </c>
      <c r="D1155" t="s">
        <v>17</v>
      </c>
      <c r="E1155">
        <v>19</v>
      </c>
      <c r="F1155">
        <v>230</v>
      </c>
      <c r="G1155">
        <v>4370</v>
      </c>
      <c r="H1155">
        <v>0.11</v>
      </c>
      <c r="I1155">
        <v>480.7</v>
      </c>
      <c r="J1155" t="s">
        <v>23</v>
      </c>
    </row>
    <row r="1156" spans="1:10" x14ac:dyDescent="0.45">
      <c r="A1156" t="s">
        <v>1217</v>
      </c>
      <c r="B1156" t="s">
        <v>247</v>
      </c>
      <c r="C1156" t="s">
        <v>12</v>
      </c>
      <c r="D1156" t="s">
        <v>17</v>
      </c>
      <c r="E1156">
        <v>10</v>
      </c>
      <c r="F1156">
        <v>80</v>
      </c>
      <c r="G1156">
        <v>800</v>
      </c>
      <c r="H1156">
        <v>0.11</v>
      </c>
      <c r="I1156">
        <v>88</v>
      </c>
      <c r="J1156" t="s">
        <v>26</v>
      </c>
    </row>
    <row r="1157" spans="1:10" x14ac:dyDescent="0.45">
      <c r="A1157" t="s">
        <v>1218</v>
      </c>
      <c r="B1157" t="s">
        <v>247</v>
      </c>
      <c r="C1157" t="s">
        <v>16</v>
      </c>
      <c r="D1157" t="s">
        <v>28</v>
      </c>
      <c r="E1157">
        <v>18</v>
      </c>
      <c r="F1157">
        <v>40</v>
      </c>
      <c r="G1157">
        <v>720</v>
      </c>
      <c r="H1157">
        <v>0.06</v>
      </c>
      <c r="I1157">
        <v>43.199999999999996</v>
      </c>
      <c r="J1157" t="s">
        <v>29</v>
      </c>
    </row>
    <row r="1158" spans="1:10" x14ac:dyDescent="0.45">
      <c r="A1158" t="s">
        <v>1219</v>
      </c>
      <c r="B1158" t="s">
        <v>247</v>
      </c>
      <c r="C1158" t="s">
        <v>12</v>
      </c>
      <c r="D1158" t="s">
        <v>28</v>
      </c>
      <c r="E1158">
        <v>16</v>
      </c>
      <c r="F1158">
        <v>80</v>
      </c>
      <c r="G1158">
        <v>1280</v>
      </c>
      <c r="H1158">
        <v>0.05</v>
      </c>
      <c r="I1158">
        <v>64</v>
      </c>
      <c r="J1158" t="s">
        <v>33</v>
      </c>
    </row>
    <row r="1159" spans="1:10" x14ac:dyDescent="0.45">
      <c r="A1159" t="s">
        <v>1220</v>
      </c>
      <c r="B1159" t="s">
        <v>247</v>
      </c>
      <c r="C1159" t="s">
        <v>35</v>
      </c>
      <c r="D1159" t="s">
        <v>32</v>
      </c>
      <c r="E1159">
        <v>17</v>
      </c>
      <c r="F1159">
        <v>150</v>
      </c>
      <c r="G1159">
        <v>2550</v>
      </c>
      <c r="H1159">
        <v>0.02</v>
      </c>
      <c r="I1159">
        <v>51</v>
      </c>
      <c r="J1159" t="s">
        <v>36</v>
      </c>
    </row>
    <row r="1160" spans="1:10" x14ac:dyDescent="0.45">
      <c r="A1160" t="s">
        <v>1221</v>
      </c>
      <c r="B1160" t="s">
        <v>255</v>
      </c>
      <c r="C1160" t="s">
        <v>20</v>
      </c>
      <c r="D1160" t="s">
        <v>13</v>
      </c>
      <c r="E1160">
        <v>8</v>
      </c>
      <c r="F1160">
        <v>230</v>
      </c>
      <c r="G1160">
        <v>1840</v>
      </c>
      <c r="H1160">
        <v>0.03</v>
      </c>
      <c r="I1160">
        <v>55.199999999999996</v>
      </c>
      <c r="J1160" t="s">
        <v>38</v>
      </c>
    </row>
    <row r="1161" spans="1:10" x14ac:dyDescent="0.45">
      <c r="A1161" t="s">
        <v>1222</v>
      </c>
      <c r="B1161" t="s">
        <v>255</v>
      </c>
      <c r="C1161" t="s">
        <v>12</v>
      </c>
      <c r="D1161" t="s">
        <v>28</v>
      </c>
      <c r="E1161">
        <v>11</v>
      </c>
      <c r="F1161">
        <v>80</v>
      </c>
      <c r="G1161">
        <v>880</v>
      </c>
      <c r="H1161">
        <v>0.01</v>
      </c>
      <c r="I1161">
        <v>8.8000000000000007</v>
      </c>
      <c r="J1161" t="s">
        <v>40</v>
      </c>
    </row>
    <row r="1162" spans="1:10" x14ac:dyDescent="0.45">
      <c r="A1162" t="s">
        <v>1223</v>
      </c>
      <c r="B1162" t="s">
        <v>255</v>
      </c>
      <c r="C1162" t="s">
        <v>16</v>
      </c>
      <c r="D1162" t="s">
        <v>13</v>
      </c>
      <c r="E1162">
        <v>5</v>
      </c>
      <c r="F1162">
        <v>40</v>
      </c>
      <c r="G1162">
        <v>200</v>
      </c>
      <c r="H1162">
        <v>0.06</v>
      </c>
      <c r="I1162">
        <v>12</v>
      </c>
      <c r="J1162" t="s">
        <v>42</v>
      </c>
    </row>
    <row r="1163" spans="1:10" x14ac:dyDescent="0.45">
      <c r="A1163" t="s">
        <v>1224</v>
      </c>
      <c r="B1163" t="s">
        <v>255</v>
      </c>
      <c r="C1163" t="s">
        <v>16</v>
      </c>
      <c r="D1163" t="s">
        <v>32</v>
      </c>
      <c r="E1163">
        <v>11</v>
      </c>
      <c r="F1163">
        <v>40</v>
      </c>
      <c r="G1163">
        <v>440</v>
      </c>
      <c r="H1163">
        <v>0.05</v>
      </c>
      <c r="I1163">
        <v>22</v>
      </c>
      <c r="J1163" t="s">
        <v>45</v>
      </c>
    </row>
    <row r="1164" spans="1:10" x14ac:dyDescent="0.45">
      <c r="A1164" t="s">
        <v>1225</v>
      </c>
      <c r="B1164" t="s">
        <v>255</v>
      </c>
      <c r="C1164" t="s">
        <v>35</v>
      </c>
      <c r="D1164" t="s">
        <v>28</v>
      </c>
      <c r="E1164">
        <v>20</v>
      </c>
      <c r="F1164">
        <v>150</v>
      </c>
      <c r="G1164">
        <v>3000</v>
      </c>
      <c r="H1164">
        <v>0.1</v>
      </c>
      <c r="I1164">
        <v>300</v>
      </c>
      <c r="J1164" t="s">
        <v>14</v>
      </c>
    </row>
    <row r="1165" spans="1:10" x14ac:dyDescent="0.45">
      <c r="A1165" t="s">
        <v>1226</v>
      </c>
      <c r="B1165" t="s">
        <v>255</v>
      </c>
      <c r="C1165" t="s">
        <v>35</v>
      </c>
      <c r="D1165" t="s">
        <v>25</v>
      </c>
      <c r="E1165">
        <v>11</v>
      </c>
      <c r="F1165">
        <v>150</v>
      </c>
      <c r="G1165">
        <v>1650</v>
      </c>
      <c r="H1165">
        <v>0.11</v>
      </c>
      <c r="I1165">
        <v>181.5</v>
      </c>
      <c r="J1165" t="s">
        <v>18</v>
      </c>
    </row>
    <row r="1166" spans="1:10" x14ac:dyDescent="0.45">
      <c r="A1166" t="s">
        <v>1227</v>
      </c>
      <c r="B1166" t="s">
        <v>255</v>
      </c>
      <c r="C1166" t="s">
        <v>12</v>
      </c>
      <c r="D1166" t="s">
        <v>28</v>
      </c>
      <c r="E1166">
        <v>2</v>
      </c>
      <c r="F1166">
        <v>80</v>
      </c>
      <c r="G1166">
        <v>160</v>
      </c>
      <c r="H1166">
        <v>0.08</v>
      </c>
      <c r="I1166">
        <v>12.8</v>
      </c>
      <c r="J1166" t="s">
        <v>21</v>
      </c>
    </row>
    <row r="1167" spans="1:10" x14ac:dyDescent="0.45">
      <c r="A1167" t="s">
        <v>1228</v>
      </c>
      <c r="B1167" t="s">
        <v>255</v>
      </c>
      <c r="C1167" t="s">
        <v>35</v>
      </c>
      <c r="D1167" t="s">
        <v>17</v>
      </c>
      <c r="E1167">
        <v>16</v>
      </c>
      <c r="F1167">
        <v>150</v>
      </c>
      <c r="G1167">
        <v>2400</v>
      </c>
      <c r="H1167">
        <v>0.08</v>
      </c>
      <c r="I1167">
        <v>192</v>
      </c>
      <c r="J1167" t="s">
        <v>23</v>
      </c>
    </row>
    <row r="1168" spans="1:10" x14ac:dyDescent="0.45">
      <c r="A1168" t="s">
        <v>1229</v>
      </c>
      <c r="B1168" t="s">
        <v>255</v>
      </c>
      <c r="C1168" t="s">
        <v>31</v>
      </c>
      <c r="D1168" t="s">
        <v>13</v>
      </c>
      <c r="E1168">
        <v>20</v>
      </c>
      <c r="F1168">
        <v>16</v>
      </c>
      <c r="G1168">
        <v>320</v>
      </c>
      <c r="H1168">
        <v>0.11</v>
      </c>
      <c r="I1168">
        <v>35.200000000000003</v>
      </c>
      <c r="J1168" t="s">
        <v>26</v>
      </c>
    </row>
    <row r="1169" spans="1:10" x14ac:dyDescent="0.45">
      <c r="A1169" t="s">
        <v>1230</v>
      </c>
      <c r="B1169" t="s">
        <v>255</v>
      </c>
      <c r="C1169" t="s">
        <v>20</v>
      </c>
      <c r="D1169" t="s">
        <v>25</v>
      </c>
      <c r="E1169">
        <v>2</v>
      </c>
      <c r="F1169">
        <v>230</v>
      </c>
      <c r="G1169">
        <v>460</v>
      </c>
      <c r="H1169">
        <v>0.09</v>
      </c>
      <c r="I1169">
        <v>41.4</v>
      </c>
      <c r="J1169" t="s">
        <v>29</v>
      </c>
    </row>
    <row r="1170" spans="1:10" x14ac:dyDescent="0.45">
      <c r="A1170" t="s">
        <v>1231</v>
      </c>
      <c r="B1170" t="s">
        <v>255</v>
      </c>
      <c r="C1170" t="s">
        <v>35</v>
      </c>
      <c r="D1170" t="s">
        <v>13</v>
      </c>
      <c r="E1170">
        <v>20</v>
      </c>
      <c r="F1170">
        <v>150</v>
      </c>
      <c r="G1170">
        <v>3000</v>
      </c>
      <c r="H1170">
        <v>0.04</v>
      </c>
      <c r="I1170">
        <v>120</v>
      </c>
      <c r="J1170" t="s">
        <v>18</v>
      </c>
    </row>
    <row r="1171" spans="1:10" x14ac:dyDescent="0.45">
      <c r="A1171" t="s">
        <v>1232</v>
      </c>
      <c r="B1171" t="s">
        <v>255</v>
      </c>
      <c r="C1171" t="s">
        <v>35</v>
      </c>
      <c r="D1171" t="s">
        <v>13</v>
      </c>
      <c r="E1171">
        <v>22</v>
      </c>
      <c r="F1171">
        <v>150</v>
      </c>
      <c r="G1171">
        <v>3300</v>
      </c>
      <c r="H1171">
        <v>7.0000000000000007E-2</v>
      </c>
      <c r="I1171">
        <v>231.00000000000003</v>
      </c>
      <c r="J1171" t="s">
        <v>21</v>
      </c>
    </row>
    <row r="1172" spans="1:10" x14ac:dyDescent="0.45">
      <c r="A1172" t="s">
        <v>1233</v>
      </c>
      <c r="B1172" t="s">
        <v>255</v>
      </c>
      <c r="C1172" t="s">
        <v>35</v>
      </c>
      <c r="D1172" t="s">
        <v>25</v>
      </c>
      <c r="E1172">
        <v>22</v>
      </c>
      <c r="F1172">
        <v>150</v>
      </c>
      <c r="G1172">
        <v>3300</v>
      </c>
      <c r="H1172">
        <v>0.04</v>
      </c>
      <c r="I1172">
        <v>132</v>
      </c>
      <c r="J1172" t="s">
        <v>23</v>
      </c>
    </row>
    <row r="1173" spans="1:10" x14ac:dyDescent="0.45">
      <c r="A1173" t="s">
        <v>1234</v>
      </c>
      <c r="B1173" t="s">
        <v>255</v>
      </c>
      <c r="C1173" t="s">
        <v>16</v>
      </c>
      <c r="D1173" t="s">
        <v>13</v>
      </c>
      <c r="E1173">
        <v>23</v>
      </c>
      <c r="F1173">
        <v>40</v>
      </c>
      <c r="G1173">
        <v>920</v>
      </c>
      <c r="H1173">
        <v>7.0000000000000007E-2</v>
      </c>
      <c r="I1173">
        <v>64.400000000000006</v>
      </c>
      <c r="J1173" t="s">
        <v>26</v>
      </c>
    </row>
    <row r="1174" spans="1:10" x14ac:dyDescent="0.45">
      <c r="A1174" t="s">
        <v>1235</v>
      </c>
      <c r="B1174" t="s">
        <v>263</v>
      </c>
      <c r="C1174" t="s">
        <v>31</v>
      </c>
      <c r="D1174" t="s">
        <v>25</v>
      </c>
      <c r="E1174">
        <v>11</v>
      </c>
      <c r="F1174">
        <v>16</v>
      </c>
      <c r="G1174">
        <v>176</v>
      </c>
      <c r="H1174">
        <v>0.04</v>
      </c>
      <c r="I1174">
        <v>7.04</v>
      </c>
      <c r="J1174" t="s">
        <v>29</v>
      </c>
    </row>
    <row r="1175" spans="1:10" x14ac:dyDescent="0.45">
      <c r="A1175" t="s">
        <v>1236</v>
      </c>
      <c r="B1175" t="s">
        <v>263</v>
      </c>
      <c r="C1175" t="s">
        <v>20</v>
      </c>
      <c r="D1175" t="s">
        <v>17</v>
      </c>
      <c r="E1175">
        <v>11</v>
      </c>
      <c r="F1175">
        <v>230</v>
      </c>
      <c r="G1175">
        <v>2530</v>
      </c>
      <c r="H1175">
        <v>0.1</v>
      </c>
      <c r="I1175">
        <v>253</v>
      </c>
      <c r="J1175" t="s">
        <v>33</v>
      </c>
    </row>
    <row r="1176" spans="1:10" x14ac:dyDescent="0.45">
      <c r="A1176" t="s">
        <v>1237</v>
      </c>
      <c r="B1176" t="s">
        <v>263</v>
      </c>
      <c r="C1176" t="s">
        <v>20</v>
      </c>
      <c r="D1176" t="s">
        <v>13</v>
      </c>
      <c r="E1176">
        <v>7</v>
      </c>
      <c r="F1176">
        <v>230</v>
      </c>
      <c r="G1176">
        <v>1610</v>
      </c>
      <c r="H1176">
        <v>0.08</v>
      </c>
      <c r="I1176">
        <v>128.80000000000001</v>
      </c>
      <c r="J1176" t="s">
        <v>36</v>
      </c>
    </row>
    <row r="1177" spans="1:10" x14ac:dyDescent="0.45">
      <c r="A1177" t="s">
        <v>1238</v>
      </c>
      <c r="B1177" t="s">
        <v>263</v>
      </c>
      <c r="C1177" t="s">
        <v>20</v>
      </c>
      <c r="D1177" t="s">
        <v>28</v>
      </c>
      <c r="E1177">
        <v>16</v>
      </c>
      <c r="F1177">
        <v>230</v>
      </c>
      <c r="G1177">
        <v>3680</v>
      </c>
      <c r="H1177">
        <v>0.11</v>
      </c>
      <c r="I1177">
        <v>404.8</v>
      </c>
      <c r="J1177" t="s">
        <v>40</v>
      </c>
    </row>
    <row r="1178" spans="1:10" x14ac:dyDescent="0.45">
      <c r="A1178" t="s">
        <v>1239</v>
      </c>
      <c r="B1178" t="s">
        <v>263</v>
      </c>
      <c r="C1178" t="s">
        <v>20</v>
      </c>
      <c r="D1178" t="s">
        <v>32</v>
      </c>
      <c r="E1178">
        <v>20</v>
      </c>
      <c r="F1178">
        <v>230</v>
      </c>
      <c r="G1178">
        <v>4600</v>
      </c>
      <c r="H1178">
        <v>0.09</v>
      </c>
      <c r="I1178">
        <v>414</v>
      </c>
      <c r="J1178" t="s">
        <v>42</v>
      </c>
    </row>
    <row r="1179" spans="1:10" x14ac:dyDescent="0.45">
      <c r="A1179" t="s">
        <v>1240</v>
      </c>
      <c r="B1179" t="s">
        <v>263</v>
      </c>
      <c r="C1179" t="s">
        <v>16</v>
      </c>
      <c r="D1179" t="s">
        <v>25</v>
      </c>
      <c r="E1179">
        <v>20</v>
      </c>
      <c r="F1179">
        <v>40</v>
      </c>
      <c r="G1179">
        <v>800</v>
      </c>
      <c r="H1179">
        <v>0.01</v>
      </c>
      <c r="I1179">
        <v>8</v>
      </c>
      <c r="J1179" t="s">
        <v>45</v>
      </c>
    </row>
    <row r="1180" spans="1:10" x14ac:dyDescent="0.45">
      <c r="A1180" t="s">
        <v>1241</v>
      </c>
      <c r="B1180" t="s">
        <v>263</v>
      </c>
      <c r="C1180" t="s">
        <v>12</v>
      </c>
      <c r="D1180" t="s">
        <v>13</v>
      </c>
      <c r="E1180">
        <v>20</v>
      </c>
      <c r="F1180">
        <v>80</v>
      </c>
      <c r="G1180">
        <v>1600</v>
      </c>
      <c r="H1180">
        <v>0.01</v>
      </c>
      <c r="I1180">
        <v>16</v>
      </c>
      <c r="J1180" t="s">
        <v>14</v>
      </c>
    </row>
    <row r="1181" spans="1:10" x14ac:dyDescent="0.45">
      <c r="A1181" t="s">
        <v>1242</v>
      </c>
      <c r="B1181" t="s">
        <v>263</v>
      </c>
      <c r="C1181" t="s">
        <v>35</v>
      </c>
      <c r="D1181" t="s">
        <v>13</v>
      </c>
      <c r="E1181">
        <v>5</v>
      </c>
      <c r="F1181">
        <v>150</v>
      </c>
      <c r="G1181">
        <v>750</v>
      </c>
      <c r="H1181">
        <v>0.11</v>
      </c>
      <c r="I1181">
        <v>82.5</v>
      </c>
      <c r="J1181" t="s">
        <v>18</v>
      </c>
    </row>
    <row r="1182" spans="1:10" x14ac:dyDescent="0.45">
      <c r="A1182" t="s">
        <v>1243</v>
      </c>
      <c r="B1182" t="s">
        <v>277</v>
      </c>
      <c r="C1182" t="s">
        <v>16</v>
      </c>
      <c r="D1182" t="s">
        <v>25</v>
      </c>
      <c r="E1182">
        <v>4</v>
      </c>
      <c r="F1182">
        <v>40</v>
      </c>
      <c r="G1182">
        <v>160</v>
      </c>
      <c r="H1182">
        <v>0.11</v>
      </c>
      <c r="I1182">
        <v>17.600000000000001</v>
      </c>
      <c r="J1182" t="s">
        <v>21</v>
      </c>
    </row>
    <row r="1183" spans="1:10" x14ac:dyDescent="0.45">
      <c r="A1183" t="s">
        <v>1244</v>
      </c>
      <c r="B1183" t="s">
        <v>277</v>
      </c>
      <c r="C1183" t="s">
        <v>31</v>
      </c>
      <c r="D1183" t="s">
        <v>13</v>
      </c>
      <c r="E1183">
        <v>7</v>
      </c>
      <c r="F1183">
        <v>16</v>
      </c>
      <c r="G1183">
        <v>112</v>
      </c>
      <c r="H1183">
        <v>0.12</v>
      </c>
      <c r="I1183">
        <v>13.44</v>
      </c>
      <c r="J1183" t="s">
        <v>23</v>
      </c>
    </row>
    <row r="1184" spans="1:10" x14ac:dyDescent="0.45">
      <c r="A1184" t="s">
        <v>1245</v>
      </c>
      <c r="B1184" t="s">
        <v>277</v>
      </c>
      <c r="C1184" t="s">
        <v>31</v>
      </c>
      <c r="D1184" t="s">
        <v>17</v>
      </c>
      <c r="E1184">
        <v>22</v>
      </c>
      <c r="F1184">
        <v>16</v>
      </c>
      <c r="G1184">
        <v>352</v>
      </c>
      <c r="H1184">
        <v>0.01</v>
      </c>
      <c r="I1184">
        <v>3.52</v>
      </c>
      <c r="J1184" t="s">
        <v>26</v>
      </c>
    </row>
    <row r="1185" spans="1:10" x14ac:dyDescent="0.45">
      <c r="A1185" t="s">
        <v>1246</v>
      </c>
      <c r="B1185" t="s">
        <v>277</v>
      </c>
      <c r="C1185" t="s">
        <v>16</v>
      </c>
      <c r="D1185" t="s">
        <v>28</v>
      </c>
      <c r="E1185">
        <v>15</v>
      </c>
      <c r="F1185">
        <v>40</v>
      </c>
      <c r="G1185">
        <v>600</v>
      </c>
      <c r="H1185">
        <v>0.03</v>
      </c>
      <c r="I1185">
        <v>18</v>
      </c>
      <c r="J1185" t="s">
        <v>29</v>
      </c>
    </row>
    <row r="1186" spans="1:10" x14ac:dyDescent="0.45">
      <c r="A1186" t="s">
        <v>1247</v>
      </c>
      <c r="B1186" t="s">
        <v>277</v>
      </c>
      <c r="C1186" t="s">
        <v>12</v>
      </c>
      <c r="D1186" t="s">
        <v>17</v>
      </c>
      <c r="E1186">
        <v>14</v>
      </c>
      <c r="F1186">
        <v>80</v>
      </c>
      <c r="G1186">
        <v>1120</v>
      </c>
      <c r="H1186">
        <v>0.11</v>
      </c>
      <c r="I1186">
        <v>123.2</v>
      </c>
      <c r="J1186" t="s">
        <v>18</v>
      </c>
    </row>
    <row r="1187" spans="1:10" x14ac:dyDescent="0.45">
      <c r="A1187" t="s">
        <v>1248</v>
      </c>
      <c r="B1187" t="s">
        <v>277</v>
      </c>
      <c r="C1187" t="s">
        <v>31</v>
      </c>
      <c r="D1187" t="s">
        <v>17</v>
      </c>
      <c r="E1187">
        <v>15</v>
      </c>
      <c r="F1187">
        <v>16</v>
      </c>
      <c r="G1187">
        <v>240</v>
      </c>
      <c r="H1187">
        <v>0.02</v>
      </c>
      <c r="I1187">
        <v>4.8</v>
      </c>
      <c r="J1187" t="s">
        <v>21</v>
      </c>
    </row>
    <row r="1188" spans="1:10" x14ac:dyDescent="0.45">
      <c r="A1188" t="s">
        <v>1249</v>
      </c>
      <c r="B1188" t="s">
        <v>292</v>
      </c>
      <c r="C1188" t="s">
        <v>12</v>
      </c>
      <c r="D1188" t="s">
        <v>28</v>
      </c>
      <c r="E1188">
        <v>19</v>
      </c>
      <c r="F1188">
        <v>80</v>
      </c>
      <c r="G1188">
        <v>1520</v>
      </c>
      <c r="H1188">
        <v>0.02</v>
      </c>
      <c r="I1188">
        <v>30.400000000000002</v>
      </c>
      <c r="J1188" t="s">
        <v>23</v>
      </c>
    </row>
    <row r="1189" spans="1:10" x14ac:dyDescent="0.45">
      <c r="A1189" t="s">
        <v>1250</v>
      </c>
      <c r="B1189" t="s">
        <v>292</v>
      </c>
      <c r="C1189" t="s">
        <v>16</v>
      </c>
      <c r="D1189" t="s">
        <v>32</v>
      </c>
      <c r="E1189">
        <v>20</v>
      </c>
      <c r="F1189">
        <v>40</v>
      </c>
      <c r="G1189">
        <v>800</v>
      </c>
      <c r="H1189">
        <v>0.05</v>
      </c>
      <c r="I1189">
        <v>40</v>
      </c>
      <c r="J1189" t="s">
        <v>26</v>
      </c>
    </row>
    <row r="1190" spans="1:10" x14ac:dyDescent="0.45">
      <c r="A1190" t="s">
        <v>1251</v>
      </c>
      <c r="B1190" t="s">
        <v>292</v>
      </c>
      <c r="C1190" t="s">
        <v>16</v>
      </c>
      <c r="D1190" t="s">
        <v>28</v>
      </c>
      <c r="E1190">
        <v>11</v>
      </c>
      <c r="F1190">
        <v>40</v>
      </c>
      <c r="G1190">
        <v>440</v>
      </c>
      <c r="H1190">
        <v>0.06</v>
      </c>
      <c r="I1190">
        <v>26.4</v>
      </c>
      <c r="J1190" t="s">
        <v>29</v>
      </c>
    </row>
    <row r="1191" spans="1:10" x14ac:dyDescent="0.45">
      <c r="A1191" t="s">
        <v>1252</v>
      </c>
      <c r="B1191" t="s">
        <v>292</v>
      </c>
      <c r="C1191" t="s">
        <v>35</v>
      </c>
      <c r="D1191" t="s">
        <v>25</v>
      </c>
      <c r="E1191">
        <v>11</v>
      </c>
      <c r="F1191">
        <v>150</v>
      </c>
      <c r="G1191">
        <v>1650</v>
      </c>
      <c r="H1191">
        <v>0.05</v>
      </c>
      <c r="I1191">
        <v>82.5</v>
      </c>
      <c r="J1191" t="s">
        <v>33</v>
      </c>
    </row>
    <row r="1192" spans="1:10" x14ac:dyDescent="0.45">
      <c r="A1192" t="s">
        <v>1253</v>
      </c>
      <c r="B1192" t="s">
        <v>292</v>
      </c>
      <c r="C1192" t="s">
        <v>12</v>
      </c>
      <c r="D1192" t="s">
        <v>28</v>
      </c>
      <c r="E1192">
        <v>23</v>
      </c>
      <c r="F1192">
        <v>80</v>
      </c>
      <c r="G1192">
        <v>1840</v>
      </c>
      <c r="H1192">
        <v>0.11</v>
      </c>
      <c r="I1192">
        <v>202.4</v>
      </c>
      <c r="J1192" t="s">
        <v>36</v>
      </c>
    </row>
    <row r="1193" spans="1:10" x14ac:dyDescent="0.45">
      <c r="A1193" t="s">
        <v>1254</v>
      </c>
      <c r="B1193" t="s">
        <v>292</v>
      </c>
      <c r="C1193" t="s">
        <v>12</v>
      </c>
      <c r="D1193" t="s">
        <v>13</v>
      </c>
      <c r="E1193">
        <v>8</v>
      </c>
      <c r="F1193">
        <v>80</v>
      </c>
      <c r="G1193">
        <v>640</v>
      </c>
      <c r="H1193">
        <v>0.09</v>
      </c>
      <c r="I1193">
        <v>57.599999999999994</v>
      </c>
      <c r="J1193" t="s">
        <v>38</v>
      </c>
    </row>
    <row r="1194" spans="1:10" x14ac:dyDescent="0.45">
      <c r="A1194" t="s">
        <v>1255</v>
      </c>
      <c r="B1194" t="s">
        <v>292</v>
      </c>
      <c r="C1194" t="s">
        <v>16</v>
      </c>
      <c r="D1194" t="s">
        <v>28</v>
      </c>
      <c r="E1194">
        <v>9</v>
      </c>
      <c r="F1194">
        <v>40</v>
      </c>
      <c r="G1194">
        <v>360</v>
      </c>
      <c r="H1194">
        <v>0.06</v>
      </c>
      <c r="I1194">
        <v>21.599999999999998</v>
      </c>
      <c r="J1194" t="s">
        <v>40</v>
      </c>
    </row>
    <row r="1195" spans="1:10" x14ac:dyDescent="0.45">
      <c r="A1195" t="s">
        <v>1256</v>
      </c>
      <c r="B1195" t="s">
        <v>292</v>
      </c>
      <c r="C1195" t="s">
        <v>20</v>
      </c>
      <c r="D1195" t="s">
        <v>32</v>
      </c>
      <c r="E1195">
        <v>13</v>
      </c>
      <c r="F1195">
        <v>230</v>
      </c>
      <c r="G1195">
        <v>2990</v>
      </c>
      <c r="H1195">
        <v>0.06</v>
      </c>
      <c r="I1195">
        <v>179.4</v>
      </c>
      <c r="J1195" t="s">
        <v>42</v>
      </c>
    </row>
    <row r="1196" spans="1:10" x14ac:dyDescent="0.45">
      <c r="A1196" t="s">
        <v>1257</v>
      </c>
      <c r="B1196" t="s">
        <v>292</v>
      </c>
      <c r="C1196" t="s">
        <v>16</v>
      </c>
      <c r="D1196" t="s">
        <v>28</v>
      </c>
      <c r="E1196">
        <v>22</v>
      </c>
      <c r="F1196">
        <v>40</v>
      </c>
      <c r="G1196">
        <v>880</v>
      </c>
      <c r="H1196">
        <v>0.01</v>
      </c>
      <c r="I1196">
        <v>8.8000000000000007</v>
      </c>
      <c r="J1196" t="s">
        <v>45</v>
      </c>
    </row>
    <row r="1197" spans="1:10" x14ac:dyDescent="0.45">
      <c r="A1197" t="s">
        <v>1258</v>
      </c>
      <c r="B1197" t="s">
        <v>292</v>
      </c>
      <c r="C1197" t="s">
        <v>31</v>
      </c>
      <c r="D1197" t="s">
        <v>32</v>
      </c>
      <c r="E1197">
        <v>14</v>
      </c>
      <c r="F1197">
        <v>16</v>
      </c>
      <c r="G1197">
        <v>224</v>
      </c>
      <c r="H1197">
        <v>0.06</v>
      </c>
      <c r="I1197">
        <v>13.44</v>
      </c>
      <c r="J1197" t="s">
        <v>14</v>
      </c>
    </row>
    <row r="1198" spans="1:10" x14ac:dyDescent="0.45">
      <c r="A1198" t="s">
        <v>1259</v>
      </c>
      <c r="B1198" t="s">
        <v>304</v>
      </c>
      <c r="C1198" t="s">
        <v>12</v>
      </c>
      <c r="D1198" t="s">
        <v>17</v>
      </c>
      <c r="E1198">
        <v>5</v>
      </c>
      <c r="F1198">
        <v>80</v>
      </c>
      <c r="G1198">
        <v>400</v>
      </c>
      <c r="H1198">
        <v>0.04</v>
      </c>
      <c r="I1198">
        <v>16</v>
      </c>
      <c r="J1198" t="s">
        <v>18</v>
      </c>
    </row>
    <row r="1199" spans="1:10" x14ac:dyDescent="0.45">
      <c r="A1199" t="s">
        <v>1260</v>
      </c>
      <c r="B1199" t="s">
        <v>304</v>
      </c>
      <c r="C1199" t="s">
        <v>35</v>
      </c>
      <c r="D1199" t="s">
        <v>32</v>
      </c>
      <c r="E1199">
        <v>18</v>
      </c>
      <c r="F1199">
        <v>150</v>
      </c>
      <c r="G1199">
        <v>2700</v>
      </c>
      <c r="H1199">
        <v>0.12</v>
      </c>
      <c r="I1199">
        <v>324</v>
      </c>
      <c r="J1199" t="s">
        <v>21</v>
      </c>
    </row>
    <row r="1200" spans="1:10" x14ac:dyDescent="0.45">
      <c r="A1200" t="s">
        <v>1261</v>
      </c>
      <c r="B1200" t="s">
        <v>304</v>
      </c>
      <c r="C1200" t="s">
        <v>20</v>
      </c>
      <c r="D1200" t="s">
        <v>25</v>
      </c>
      <c r="E1200">
        <v>14</v>
      </c>
      <c r="F1200">
        <v>230</v>
      </c>
      <c r="G1200">
        <v>3220</v>
      </c>
      <c r="H1200">
        <v>0.12</v>
      </c>
      <c r="I1200">
        <v>386.4</v>
      </c>
      <c r="J1200" t="s">
        <v>23</v>
      </c>
    </row>
    <row r="1201" spans="1:10" x14ac:dyDescent="0.45">
      <c r="A1201" t="s">
        <v>1262</v>
      </c>
      <c r="B1201" t="s">
        <v>304</v>
      </c>
      <c r="C1201" t="s">
        <v>20</v>
      </c>
      <c r="D1201" t="s">
        <v>32</v>
      </c>
      <c r="E1201">
        <v>20</v>
      </c>
      <c r="F1201">
        <v>230</v>
      </c>
      <c r="G1201">
        <v>4600</v>
      </c>
      <c r="H1201">
        <v>0.11</v>
      </c>
      <c r="I1201">
        <v>506</v>
      </c>
      <c r="J1201" t="s">
        <v>26</v>
      </c>
    </row>
    <row r="1202" spans="1:10" x14ac:dyDescent="0.45">
      <c r="A1202" t="s">
        <v>1263</v>
      </c>
      <c r="B1202" t="s">
        <v>304</v>
      </c>
      <c r="C1202" t="s">
        <v>31</v>
      </c>
      <c r="D1202" t="s">
        <v>32</v>
      </c>
      <c r="E1202">
        <v>3</v>
      </c>
      <c r="F1202">
        <v>16</v>
      </c>
      <c r="G1202">
        <v>48</v>
      </c>
      <c r="H1202">
        <v>0.03</v>
      </c>
      <c r="I1202">
        <v>1.44</v>
      </c>
      <c r="J1202" t="s">
        <v>29</v>
      </c>
    </row>
    <row r="1203" spans="1:10" x14ac:dyDescent="0.45">
      <c r="A1203" t="s">
        <v>1264</v>
      </c>
      <c r="B1203" t="s">
        <v>304</v>
      </c>
      <c r="C1203" t="s">
        <v>20</v>
      </c>
      <c r="D1203" t="s">
        <v>25</v>
      </c>
      <c r="E1203">
        <v>20</v>
      </c>
      <c r="F1203">
        <v>230</v>
      </c>
      <c r="G1203">
        <v>4600</v>
      </c>
      <c r="H1203">
        <v>0.06</v>
      </c>
      <c r="I1203">
        <v>276</v>
      </c>
      <c r="J1203" t="s">
        <v>18</v>
      </c>
    </row>
    <row r="1204" spans="1:10" x14ac:dyDescent="0.45">
      <c r="A1204" t="s">
        <v>1265</v>
      </c>
      <c r="B1204" t="s">
        <v>304</v>
      </c>
      <c r="C1204" t="s">
        <v>12</v>
      </c>
      <c r="D1204" t="s">
        <v>32</v>
      </c>
      <c r="E1204">
        <v>9</v>
      </c>
      <c r="F1204">
        <v>80</v>
      </c>
      <c r="G1204">
        <v>720</v>
      </c>
      <c r="H1204">
        <v>0.02</v>
      </c>
      <c r="I1204">
        <v>14.4</v>
      </c>
      <c r="J1204" t="s">
        <v>21</v>
      </c>
    </row>
    <row r="1205" spans="1:10" x14ac:dyDescent="0.45">
      <c r="A1205" t="s">
        <v>1266</v>
      </c>
      <c r="B1205" t="s">
        <v>304</v>
      </c>
      <c r="C1205" t="s">
        <v>31</v>
      </c>
      <c r="D1205" t="s">
        <v>28</v>
      </c>
      <c r="E1205">
        <v>22</v>
      </c>
      <c r="F1205">
        <v>16</v>
      </c>
      <c r="G1205">
        <v>352</v>
      </c>
      <c r="H1205">
        <v>0.03</v>
      </c>
      <c r="I1205">
        <v>10.559999999999999</v>
      </c>
      <c r="J1205" t="s">
        <v>23</v>
      </c>
    </row>
    <row r="1206" spans="1:10" x14ac:dyDescent="0.45">
      <c r="A1206" t="s">
        <v>1267</v>
      </c>
      <c r="B1206" t="s">
        <v>304</v>
      </c>
      <c r="C1206" t="s">
        <v>12</v>
      </c>
      <c r="D1206" t="s">
        <v>17</v>
      </c>
      <c r="E1206">
        <v>15</v>
      </c>
      <c r="F1206">
        <v>80</v>
      </c>
      <c r="G1206">
        <v>1200</v>
      </c>
      <c r="H1206">
        <v>0.12</v>
      </c>
      <c r="I1206">
        <v>144</v>
      </c>
      <c r="J1206" t="s">
        <v>26</v>
      </c>
    </row>
    <row r="1207" spans="1:10" x14ac:dyDescent="0.45">
      <c r="A1207" t="s">
        <v>1268</v>
      </c>
      <c r="B1207" t="s">
        <v>304</v>
      </c>
      <c r="C1207" t="s">
        <v>35</v>
      </c>
      <c r="D1207" t="s">
        <v>13</v>
      </c>
      <c r="E1207">
        <v>11</v>
      </c>
      <c r="F1207">
        <v>150</v>
      </c>
      <c r="G1207">
        <v>1650</v>
      </c>
      <c r="H1207">
        <v>0.05</v>
      </c>
      <c r="I1207">
        <v>82.5</v>
      </c>
      <c r="J1207" t="s">
        <v>29</v>
      </c>
    </row>
    <row r="1208" spans="1:10" x14ac:dyDescent="0.45">
      <c r="A1208" t="s">
        <v>1269</v>
      </c>
      <c r="B1208" t="s">
        <v>304</v>
      </c>
      <c r="C1208" t="s">
        <v>20</v>
      </c>
      <c r="D1208" t="s">
        <v>28</v>
      </c>
      <c r="E1208">
        <v>11</v>
      </c>
      <c r="F1208">
        <v>230</v>
      </c>
      <c r="G1208">
        <v>2530</v>
      </c>
      <c r="H1208">
        <v>0.12</v>
      </c>
      <c r="I1208">
        <v>303.59999999999997</v>
      </c>
      <c r="J1208" t="s">
        <v>33</v>
      </c>
    </row>
    <row r="1209" spans="1:10" x14ac:dyDescent="0.45">
      <c r="A1209" t="s">
        <v>1270</v>
      </c>
      <c r="B1209" t="s">
        <v>304</v>
      </c>
      <c r="C1209" t="s">
        <v>35</v>
      </c>
      <c r="D1209" t="s">
        <v>13</v>
      </c>
      <c r="E1209">
        <v>20</v>
      </c>
      <c r="F1209">
        <v>150</v>
      </c>
      <c r="G1209">
        <v>3000</v>
      </c>
      <c r="H1209">
        <v>0.01</v>
      </c>
      <c r="I1209">
        <v>30</v>
      </c>
      <c r="J1209" t="s">
        <v>36</v>
      </c>
    </row>
    <row r="1210" spans="1:10" x14ac:dyDescent="0.45">
      <c r="A1210" t="s">
        <v>1271</v>
      </c>
      <c r="B1210" t="s">
        <v>304</v>
      </c>
      <c r="C1210" t="s">
        <v>16</v>
      </c>
      <c r="D1210" t="s">
        <v>25</v>
      </c>
      <c r="E1210">
        <v>11</v>
      </c>
      <c r="F1210">
        <v>40</v>
      </c>
      <c r="G1210">
        <v>440</v>
      </c>
      <c r="H1210">
        <v>0.12</v>
      </c>
      <c r="I1210">
        <v>52.8</v>
      </c>
      <c r="J1210" t="s">
        <v>38</v>
      </c>
    </row>
    <row r="1211" spans="1:10" x14ac:dyDescent="0.45">
      <c r="A1211" t="s">
        <v>1272</v>
      </c>
      <c r="B1211" t="s">
        <v>319</v>
      </c>
      <c r="C1211" t="s">
        <v>20</v>
      </c>
      <c r="D1211" t="s">
        <v>25</v>
      </c>
      <c r="E1211">
        <v>12</v>
      </c>
      <c r="F1211">
        <v>230</v>
      </c>
      <c r="G1211">
        <v>2760</v>
      </c>
      <c r="H1211">
        <v>0.06</v>
      </c>
      <c r="I1211">
        <v>165.6</v>
      </c>
      <c r="J1211" t="s">
        <v>40</v>
      </c>
    </row>
    <row r="1212" spans="1:10" x14ac:dyDescent="0.45">
      <c r="A1212" t="s">
        <v>1273</v>
      </c>
      <c r="B1212" t="s">
        <v>319</v>
      </c>
      <c r="C1212" t="s">
        <v>16</v>
      </c>
      <c r="D1212" t="s">
        <v>13</v>
      </c>
      <c r="E1212">
        <v>15</v>
      </c>
      <c r="F1212">
        <v>40</v>
      </c>
      <c r="G1212">
        <v>600</v>
      </c>
      <c r="H1212">
        <v>0.06</v>
      </c>
      <c r="I1212">
        <v>36</v>
      </c>
      <c r="J1212" t="s">
        <v>42</v>
      </c>
    </row>
    <row r="1213" spans="1:10" x14ac:dyDescent="0.45">
      <c r="A1213" t="s">
        <v>1274</v>
      </c>
      <c r="B1213" t="s">
        <v>319</v>
      </c>
      <c r="C1213" t="s">
        <v>16</v>
      </c>
      <c r="D1213" t="s">
        <v>28</v>
      </c>
      <c r="E1213">
        <v>13</v>
      </c>
      <c r="F1213">
        <v>40</v>
      </c>
      <c r="G1213">
        <v>520</v>
      </c>
      <c r="H1213">
        <v>0.09</v>
      </c>
      <c r="I1213">
        <v>46.8</v>
      </c>
      <c r="J1213" t="s">
        <v>45</v>
      </c>
    </row>
    <row r="1214" spans="1:10" x14ac:dyDescent="0.45">
      <c r="A1214" t="s">
        <v>1275</v>
      </c>
      <c r="B1214" t="s">
        <v>319</v>
      </c>
      <c r="C1214" t="s">
        <v>16</v>
      </c>
      <c r="D1214" t="s">
        <v>32</v>
      </c>
      <c r="E1214">
        <v>4</v>
      </c>
      <c r="F1214">
        <v>40</v>
      </c>
      <c r="G1214">
        <v>160</v>
      </c>
      <c r="H1214">
        <v>0.09</v>
      </c>
      <c r="I1214">
        <v>14.399999999999999</v>
      </c>
      <c r="J1214" t="s">
        <v>14</v>
      </c>
    </row>
    <row r="1215" spans="1:10" x14ac:dyDescent="0.45">
      <c r="A1215" t="s">
        <v>1276</v>
      </c>
      <c r="B1215" t="s">
        <v>319</v>
      </c>
      <c r="C1215" t="s">
        <v>20</v>
      </c>
      <c r="D1215" t="s">
        <v>28</v>
      </c>
      <c r="E1215">
        <v>18</v>
      </c>
      <c r="F1215">
        <v>230</v>
      </c>
      <c r="G1215">
        <v>4140</v>
      </c>
      <c r="H1215">
        <v>0.01</v>
      </c>
      <c r="I1215">
        <v>41.4</v>
      </c>
      <c r="J1215" t="s">
        <v>18</v>
      </c>
    </row>
    <row r="1216" spans="1:10" x14ac:dyDescent="0.45">
      <c r="A1216" t="s">
        <v>1277</v>
      </c>
      <c r="B1216" t="s">
        <v>319</v>
      </c>
      <c r="C1216" t="s">
        <v>31</v>
      </c>
      <c r="D1216" t="s">
        <v>13</v>
      </c>
      <c r="E1216">
        <v>7</v>
      </c>
      <c r="F1216">
        <v>16</v>
      </c>
      <c r="G1216">
        <v>112</v>
      </c>
      <c r="H1216">
        <v>0.02</v>
      </c>
      <c r="I1216">
        <v>2.2400000000000002</v>
      </c>
      <c r="J1216" t="s">
        <v>21</v>
      </c>
    </row>
    <row r="1217" spans="1:10" x14ac:dyDescent="0.45">
      <c r="A1217" t="s">
        <v>1278</v>
      </c>
      <c r="B1217" t="s">
        <v>319</v>
      </c>
      <c r="C1217" t="s">
        <v>31</v>
      </c>
      <c r="D1217" t="s">
        <v>25</v>
      </c>
      <c r="E1217">
        <v>6</v>
      </c>
      <c r="F1217">
        <v>16</v>
      </c>
      <c r="G1217">
        <v>96</v>
      </c>
      <c r="H1217">
        <v>7.0000000000000007E-2</v>
      </c>
      <c r="I1217">
        <v>6.7200000000000006</v>
      </c>
      <c r="J1217" t="s">
        <v>23</v>
      </c>
    </row>
    <row r="1218" spans="1:10" x14ac:dyDescent="0.45">
      <c r="A1218" t="s">
        <v>1279</v>
      </c>
      <c r="B1218" t="s">
        <v>319</v>
      </c>
      <c r="C1218" t="s">
        <v>20</v>
      </c>
      <c r="D1218" t="s">
        <v>28</v>
      </c>
      <c r="E1218">
        <v>8</v>
      </c>
      <c r="F1218">
        <v>230</v>
      </c>
      <c r="G1218">
        <v>1840</v>
      </c>
      <c r="H1218">
        <v>0.05</v>
      </c>
      <c r="I1218">
        <v>92</v>
      </c>
      <c r="J1218" t="s">
        <v>26</v>
      </c>
    </row>
    <row r="1219" spans="1:10" x14ac:dyDescent="0.45">
      <c r="A1219" t="s">
        <v>1280</v>
      </c>
      <c r="B1219" t="s">
        <v>319</v>
      </c>
      <c r="C1219" t="s">
        <v>31</v>
      </c>
      <c r="D1219" t="s">
        <v>25</v>
      </c>
      <c r="E1219">
        <v>12</v>
      </c>
      <c r="F1219">
        <v>16</v>
      </c>
      <c r="G1219">
        <v>192</v>
      </c>
      <c r="H1219">
        <v>0.11</v>
      </c>
      <c r="I1219">
        <v>21.12</v>
      </c>
      <c r="J1219" t="s">
        <v>29</v>
      </c>
    </row>
    <row r="1220" spans="1:10" x14ac:dyDescent="0.45">
      <c r="A1220" t="s">
        <v>1281</v>
      </c>
      <c r="B1220" t="s">
        <v>319</v>
      </c>
      <c r="C1220" t="s">
        <v>20</v>
      </c>
      <c r="D1220" t="s">
        <v>13</v>
      </c>
      <c r="E1220">
        <v>11</v>
      </c>
      <c r="F1220">
        <v>230</v>
      </c>
      <c r="G1220">
        <v>2530</v>
      </c>
      <c r="H1220">
        <v>0.02</v>
      </c>
      <c r="I1220">
        <v>50.6</v>
      </c>
      <c r="J1220" t="s">
        <v>18</v>
      </c>
    </row>
    <row r="1221" spans="1:10" x14ac:dyDescent="0.45">
      <c r="A1221" t="s">
        <v>1282</v>
      </c>
      <c r="B1221" t="s">
        <v>319</v>
      </c>
      <c r="C1221" t="s">
        <v>31</v>
      </c>
      <c r="D1221" t="s">
        <v>25</v>
      </c>
      <c r="E1221">
        <v>3</v>
      </c>
      <c r="F1221">
        <v>16</v>
      </c>
      <c r="G1221">
        <v>48</v>
      </c>
      <c r="H1221">
        <v>0.05</v>
      </c>
      <c r="I1221">
        <v>2.4000000000000004</v>
      </c>
      <c r="J1221" t="s">
        <v>21</v>
      </c>
    </row>
    <row r="1222" spans="1:10" x14ac:dyDescent="0.45">
      <c r="A1222" t="s">
        <v>1283</v>
      </c>
      <c r="B1222" t="s">
        <v>338</v>
      </c>
      <c r="C1222" t="s">
        <v>35</v>
      </c>
      <c r="D1222" t="s">
        <v>17</v>
      </c>
      <c r="E1222">
        <v>16</v>
      </c>
      <c r="F1222">
        <v>150</v>
      </c>
      <c r="G1222">
        <v>2400</v>
      </c>
      <c r="H1222">
        <v>0.05</v>
      </c>
      <c r="I1222">
        <v>120</v>
      </c>
      <c r="J1222" t="s">
        <v>23</v>
      </c>
    </row>
    <row r="1223" spans="1:10" x14ac:dyDescent="0.45">
      <c r="A1223" t="s">
        <v>1284</v>
      </c>
      <c r="B1223" t="s">
        <v>338</v>
      </c>
      <c r="C1223" t="s">
        <v>20</v>
      </c>
      <c r="D1223" t="s">
        <v>28</v>
      </c>
      <c r="E1223">
        <v>8</v>
      </c>
      <c r="F1223">
        <v>230</v>
      </c>
      <c r="G1223">
        <v>1840</v>
      </c>
      <c r="H1223">
        <v>0.01</v>
      </c>
      <c r="I1223">
        <v>18.400000000000002</v>
      </c>
      <c r="J1223" t="s">
        <v>26</v>
      </c>
    </row>
    <row r="1224" spans="1:10" x14ac:dyDescent="0.45">
      <c r="A1224" t="s">
        <v>1285</v>
      </c>
      <c r="B1224" t="s">
        <v>338</v>
      </c>
      <c r="C1224" t="s">
        <v>12</v>
      </c>
      <c r="D1224" t="s">
        <v>25</v>
      </c>
      <c r="E1224">
        <v>16</v>
      </c>
      <c r="F1224">
        <v>80</v>
      </c>
      <c r="G1224">
        <v>1280</v>
      </c>
      <c r="H1224">
        <v>0.04</v>
      </c>
      <c r="I1224">
        <v>51.2</v>
      </c>
      <c r="J1224" t="s">
        <v>29</v>
      </c>
    </row>
    <row r="1225" spans="1:10" x14ac:dyDescent="0.45">
      <c r="A1225" t="s">
        <v>1286</v>
      </c>
      <c r="B1225" t="s">
        <v>338</v>
      </c>
      <c r="C1225" t="s">
        <v>31</v>
      </c>
      <c r="D1225" t="s">
        <v>28</v>
      </c>
      <c r="E1225">
        <v>18</v>
      </c>
      <c r="F1225">
        <v>16</v>
      </c>
      <c r="G1225">
        <v>288</v>
      </c>
      <c r="H1225">
        <v>0.04</v>
      </c>
      <c r="I1225">
        <v>11.52</v>
      </c>
      <c r="J1225" t="s">
        <v>33</v>
      </c>
    </row>
    <row r="1226" spans="1:10" x14ac:dyDescent="0.45">
      <c r="A1226" t="s">
        <v>1287</v>
      </c>
      <c r="B1226" t="s">
        <v>338</v>
      </c>
      <c r="C1226" t="s">
        <v>16</v>
      </c>
      <c r="D1226" t="s">
        <v>32</v>
      </c>
      <c r="E1226">
        <v>14</v>
      </c>
      <c r="F1226">
        <v>40</v>
      </c>
      <c r="G1226">
        <v>560</v>
      </c>
      <c r="H1226">
        <v>0.11</v>
      </c>
      <c r="I1226">
        <v>61.6</v>
      </c>
      <c r="J1226" t="s">
        <v>36</v>
      </c>
    </row>
    <row r="1227" spans="1:10" x14ac:dyDescent="0.45">
      <c r="A1227" t="s">
        <v>1288</v>
      </c>
      <c r="B1227" t="s">
        <v>338</v>
      </c>
      <c r="C1227" t="s">
        <v>31</v>
      </c>
      <c r="D1227" t="s">
        <v>17</v>
      </c>
      <c r="E1227">
        <v>21</v>
      </c>
      <c r="F1227">
        <v>16</v>
      </c>
      <c r="G1227">
        <v>336</v>
      </c>
      <c r="H1227">
        <v>0.02</v>
      </c>
      <c r="I1227">
        <v>6.72</v>
      </c>
      <c r="J1227" t="s">
        <v>38</v>
      </c>
    </row>
    <row r="1228" spans="1:10" x14ac:dyDescent="0.45">
      <c r="A1228" t="s">
        <v>1289</v>
      </c>
      <c r="B1228" t="s">
        <v>338</v>
      </c>
      <c r="C1228" t="s">
        <v>31</v>
      </c>
      <c r="D1228" t="s">
        <v>17</v>
      </c>
      <c r="E1228">
        <v>7</v>
      </c>
      <c r="F1228">
        <v>16</v>
      </c>
      <c r="G1228">
        <v>112</v>
      </c>
      <c r="H1228">
        <v>0.08</v>
      </c>
      <c r="I1228">
        <v>8.9600000000000009</v>
      </c>
      <c r="J1228" t="s">
        <v>40</v>
      </c>
    </row>
    <row r="1229" spans="1:10" x14ac:dyDescent="0.45">
      <c r="A1229" t="s">
        <v>1290</v>
      </c>
      <c r="B1229" t="s">
        <v>338</v>
      </c>
      <c r="C1229" t="s">
        <v>12</v>
      </c>
      <c r="D1229" t="s">
        <v>25</v>
      </c>
      <c r="E1229">
        <v>7</v>
      </c>
      <c r="F1229">
        <v>80</v>
      </c>
      <c r="G1229">
        <v>560</v>
      </c>
      <c r="H1229">
        <v>0.05</v>
      </c>
      <c r="I1229">
        <v>28</v>
      </c>
      <c r="J1229" t="s">
        <v>42</v>
      </c>
    </row>
    <row r="1230" spans="1:10" x14ac:dyDescent="0.45">
      <c r="A1230" t="s">
        <v>1291</v>
      </c>
      <c r="B1230" t="s">
        <v>338</v>
      </c>
      <c r="C1230" t="s">
        <v>16</v>
      </c>
      <c r="D1230" t="s">
        <v>32</v>
      </c>
      <c r="E1230">
        <v>16</v>
      </c>
      <c r="F1230">
        <v>40</v>
      </c>
      <c r="G1230">
        <v>640</v>
      </c>
      <c r="H1230">
        <v>0.09</v>
      </c>
      <c r="I1230">
        <v>57.599999999999994</v>
      </c>
      <c r="J1230" t="s">
        <v>45</v>
      </c>
    </row>
    <row r="1231" spans="1:10" x14ac:dyDescent="0.45">
      <c r="A1231" t="s">
        <v>1292</v>
      </c>
      <c r="B1231" t="s">
        <v>338</v>
      </c>
      <c r="C1231" t="s">
        <v>20</v>
      </c>
      <c r="D1231" t="s">
        <v>32</v>
      </c>
      <c r="E1231">
        <v>22</v>
      </c>
      <c r="F1231">
        <v>230</v>
      </c>
      <c r="G1231">
        <v>5060</v>
      </c>
      <c r="H1231">
        <v>0.1</v>
      </c>
      <c r="I1231">
        <v>506</v>
      </c>
      <c r="J1231" t="s">
        <v>14</v>
      </c>
    </row>
    <row r="1232" spans="1:10" x14ac:dyDescent="0.45">
      <c r="A1232" t="s">
        <v>1293</v>
      </c>
      <c r="B1232" t="s">
        <v>338</v>
      </c>
      <c r="C1232" t="s">
        <v>16</v>
      </c>
      <c r="D1232" t="s">
        <v>17</v>
      </c>
      <c r="E1232">
        <v>4</v>
      </c>
      <c r="F1232">
        <v>40</v>
      </c>
      <c r="G1232">
        <v>160</v>
      </c>
      <c r="H1232">
        <v>0.03</v>
      </c>
      <c r="I1232">
        <v>4.8</v>
      </c>
      <c r="J1232" t="s">
        <v>18</v>
      </c>
    </row>
    <row r="1233" spans="1:10" x14ac:dyDescent="0.45">
      <c r="A1233" t="s">
        <v>1294</v>
      </c>
      <c r="B1233" t="s">
        <v>338</v>
      </c>
      <c r="C1233" t="s">
        <v>20</v>
      </c>
      <c r="D1233" t="s">
        <v>32</v>
      </c>
      <c r="E1233">
        <v>3</v>
      </c>
      <c r="F1233">
        <v>230</v>
      </c>
      <c r="G1233">
        <v>690</v>
      </c>
      <c r="H1233">
        <v>0.1</v>
      </c>
      <c r="I1233">
        <v>69</v>
      </c>
      <c r="J1233" t="s">
        <v>21</v>
      </c>
    </row>
    <row r="1234" spans="1:10" x14ac:dyDescent="0.45">
      <c r="A1234" t="s">
        <v>1295</v>
      </c>
      <c r="B1234" t="s">
        <v>338</v>
      </c>
      <c r="C1234" t="s">
        <v>12</v>
      </c>
      <c r="D1234" t="s">
        <v>17</v>
      </c>
      <c r="E1234">
        <v>14</v>
      </c>
      <c r="F1234">
        <v>80</v>
      </c>
      <c r="G1234">
        <v>1120</v>
      </c>
      <c r="H1234">
        <v>0.11</v>
      </c>
      <c r="I1234">
        <v>123.2</v>
      </c>
      <c r="J1234" t="s">
        <v>23</v>
      </c>
    </row>
    <row r="1235" spans="1:10" x14ac:dyDescent="0.45">
      <c r="A1235" t="s">
        <v>1296</v>
      </c>
      <c r="B1235" t="s">
        <v>350</v>
      </c>
      <c r="C1235" t="s">
        <v>16</v>
      </c>
      <c r="D1235" t="s">
        <v>32</v>
      </c>
      <c r="E1235">
        <v>21</v>
      </c>
      <c r="F1235">
        <v>40</v>
      </c>
      <c r="G1235">
        <v>840</v>
      </c>
      <c r="H1235">
        <v>0.01</v>
      </c>
      <c r="I1235">
        <v>8.4</v>
      </c>
      <c r="J1235" t="s">
        <v>26</v>
      </c>
    </row>
    <row r="1236" spans="1:10" x14ac:dyDescent="0.45">
      <c r="A1236" t="s">
        <v>1297</v>
      </c>
      <c r="B1236" t="s">
        <v>350</v>
      </c>
      <c r="C1236" t="s">
        <v>31</v>
      </c>
      <c r="D1236" t="s">
        <v>17</v>
      </c>
      <c r="E1236">
        <v>20</v>
      </c>
      <c r="F1236">
        <v>16</v>
      </c>
      <c r="G1236">
        <v>320</v>
      </c>
      <c r="H1236">
        <v>0.06</v>
      </c>
      <c r="I1236">
        <v>19.2</v>
      </c>
      <c r="J1236" t="s">
        <v>29</v>
      </c>
    </row>
    <row r="1237" spans="1:10" x14ac:dyDescent="0.45">
      <c r="A1237" t="s">
        <v>1298</v>
      </c>
      <c r="B1237" t="s">
        <v>350</v>
      </c>
      <c r="C1237" t="s">
        <v>12</v>
      </c>
      <c r="D1237" t="s">
        <v>32</v>
      </c>
      <c r="E1237">
        <v>22</v>
      </c>
      <c r="F1237">
        <v>80</v>
      </c>
      <c r="G1237">
        <v>1760</v>
      </c>
      <c r="H1237">
        <v>0.11</v>
      </c>
      <c r="I1237">
        <v>193.6</v>
      </c>
      <c r="J1237" t="s">
        <v>18</v>
      </c>
    </row>
    <row r="1238" spans="1:10" x14ac:dyDescent="0.45">
      <c r="A1238" t="s">
        <v>1299</v>
      </c>
      <c r="B1238" t="s">
        <v>350</v>
      </c>
      <c r="C1238" t="s">
        <v>16</v>
      </c>
      <c r="D1238" t="s">
        <v>13</v>
      </c>
      <c r="E1238">
        <v>7</v>
      </c>
      <c r="F1238">
        <v>40</v>
      </c>
      <c r="G1238">
        <v>280</v>
      </c>
      <c r="H1238">
        <v>0.1</v>
      </c>
      <c r="I1238">
        <v>28</v>
      </c>
      <c r="J1238" t="s">
        <v>21</v>
      </c>
    </row>
    <row r="1239" spans="1:10" x14ac:dyDescent="0.45">
      <c r="A1239" t="s">
        <v>1300</v>
      </c>
      <c r="B1239" t="s">
        <v>350</v>
      </c>
      <c r="C1239" t="s">
        <v>35</v>
      </c>
      <c r="D1239" t="s">
        <v>17</v>
      </c>
      <c r="E1239">
        <v>16</v>
      </c>
      <c r="F1239">
        <v>150</v>
      </c>
      <c r="G1239">
        <v>2400</v>
      </c>
      <c r="H1239">
        <v>0.05</v>
      </c>
      <c r="I1239">
        <v>120</v>
      </c>
      <c r="J1239" t="s">
        <v>23</v>
      </c>
    </row>
    <row r="1240" spans="1:10" x14ac:dyDescent="0.45">
      <c r="A1240" t="s">
        <v>1301</v>
      </c>
      <c r="B1240" t="s">
        <v>350</v>
      </c>
      <c r="C1240" t="s">
        <v>20</v>
      </c>
      <c r="D1240" t="s">
        <v>17</v>
      </c>
      <c r="E1240">
        <v>7</v>
      </c>
      <c r="F1240">
        <v>230</v>
      </c>
      <c r="G1240">
        <v>1610</v>
      </c>
      <c r="H1240">
        <v>0.05</v>
      </c>
      <c r="I1240">
        <v>80.5</v>
      </c>
      <c r="J1240" t="s">
        <v>26</v>
      </c>
    </row>
    <row r="1241" spans="1:10" x14ac:dyDescent="0.45">
      <c r="A1241" t="s">
        <v>1302</v>
      </c>
      <c r="B1241" t="s">
        <v>350</v>
      </c>
      <c r="C1241" t="s">
        <v>35</v>
      </c>
      <c r="D1241" t="s">
        <v>13</v>
      </c>
      <c r="E1241">
        <v>20</v>
      </c>
      <c r="F1241">
        <v>150</v>
      </c>
      <c r="G1241">
        <v>3000</v>
      </c>
      <c r="H1241">
        <v>0.03</v>
      </c>
      <c r="I1241">
        <v>90</v>
      </c>
      <c r="J1241" t="s">
        <v>29</v>
      </c>
    </row>
    <row r="1242" spans="1:10" x14ac:dyDescent="0.45">
      <c r="A1242" t="s">
        <v>1303</v>
      </c>
      <c r="B1242" t="s">
        <v>350</v>
      </c>
      <c r="C1242" t="s">
        <v>35</v>
      </c>
      <c r="D1242" t="s">
        <v>17</v>
      </c>
      <c r="E1242">
        <v>16</v>
      </c>
      <c r="F1242">
        <v>150</v>
      </c>
      <c r="G1242">
        <v>2400</v>
      </c>
      <c r="H1242">
        <v>0.03</v>
      </c>
      <c r="I1242">
        <v>72</v>
      </c>
      <c r="J1242" t="s">
        <v>33</v>
      </c>
    </row>
    <row r="1243" spans="1:10" x14ac:dyDescent="0.45">
      <c r="A1243" t="s">
        <v>1304</v>
      </c>
      <c r="B1243" t="s">
        <v>350</v>
      </c>
      <c r="C1243" t="s">
        <v>31</v>
      </c>
      <c r="D1243" t="s">
        <v>28</v>
      </c>
      <c r="E1243">
        <v>10</v>
      </c>
      <c r="F1243">
        <v>16</v>
      </c>
      <c r="G1243">
        <v>160</v>
      </c>
      <c r="H1243">
        <v>0.04</v>
      </c>
      <c r="I1243">
        <v>6.4</v>
      </c>
      <c r="J1243" t="s">
        <v>36</v>
      </c>
    </row>
    <row r="1244" spans="1:10" x14ac:dyDescent="0.45">
      <c r="A1244" t="s">
        <v>1305</v>
      </c>
      <c r="B1244" t="s">
        <v>350</v>
      </c>
      <c r="C1244" t="s">
        <v>12</v>
      </c>
      <c r="D1244" t="s">
        <v>32</v>
      </c>
      <c r="E1244">
        <v>6</v>
      </c>
      <c r="F1244">
        <v>80</v>
      </c>
      <c r="G1244">
        <v>480</v>
      </c>
      <c r="H1244">
        <v>0.09</v>
      </c>
      <c r="I1244">
        <v>43.199999999999996</v>
      </c>
      <c r="J1244" t="s">
        <v>38</v>
      </c>
    </row>
    <row r="1245" spans="1:10" x14ac:dyDescent="0.45">
      <c r="A1245" t="s">
        <v>1306</v>
      </c>
      <c r="B1245" t="s">
        <v>350</v>
      </c>
      <c r="C1245" t="s">
        <v>12</v>
      </c>
      <c r="D1245" t="s">
        <v>13</v>
      </c>
      <c r="E1245">
        <v>17</v>
      </c>
      <c r="F1245">
        <v>80</v>
      </c>
      <c r="G1245">
        <v>1360</v>
      </c>
      <c r="H1245">
        <v>0.09</v>
      </c>
      <c r="I1245">
        <v>122.39999999999999</v>
      </c>
      <c r="J1245" t="s">
        <v>40</v>
      </c>
    </row>
    <row r="1246" spans="1:10" x14ac:dyDescent="0.45">
      <c r="A1246" t="s">
        <v>1307</v>
      </c>
      <c r="B1246" t="s">
        <v>350</v>
      </c>
      <c r="C1246" t="s">
        <v>16</v>
      </c>
      <c r="D1246" t="s">
        <v>13</v>
      </c>
      <c r="E1246">
        <v>19</v>
      </c>
      <c r="F1246">
        <v>40</v>
      </c>
      <c r="G1246">
        <v>760</v>
      </c>
      <c r="H1246">
        <v>0.04</v>
      </c>
      <c r="I1246">
        <v>30.400000000000002</v>
      </c>
      <c r="J1246" t="s">
        <v>42</v>
      </c>
    </row>
    <row r="1247" spans="1:10" x14ac:dyDescent="0.45">
      <c r="A1247" t="s">
        <v>1308</v>
      </c>
      <c r="B1247" t="s">
        <v>350</v>
      </c>
      <c r="C1247" t="s">
        <v>16</v>
      </c>
      <c r="D1247" t="s">
        <v>32</v>
      </c>
      <c r="E1247">
        <v>16</v>
      </c>
      <c r="F1247">
        <v>40</v>
      </c>
      <c r="G1247">
        <v>640</v>
      </c>
      <c r="H1247">
        <v>0.09</v>
      </c>
      <c r="I1247">
        <v>57.599999999999994</v>
      </c>
      <c r="J1247" t="s">
        <v>45</v>
      </c>
    </row>
    <row r="1248" spans="1:10" x14ac:dyDescent="0.45">
      <c r="A1248" t="s">
        <v>1309</v>
      </c>
      <c r="B1248" t="s">
        <v>350</v>
      </c>
      <c r="C1248" t="s">
        <v>31</v>
      </c>
      <c r="D1248" t="s">
        <v>13</v>
      </c>
      <c r="E1248">
        <v>4</v>
      </c>
      <c r="F1248">
        <v>16</v>
      </c>
      <c r="G1248">
        <v>64</v>
      </c>
      <c r="H1248">
        <v>0.12</v>
      </c>
      <c r="I1248">
        <v>7.68</v>
      </c>
      <c r="J1248" t="s">
        <v>14</v>
      </c>
    </row>
    <row r="1249" spans="1:10" x14ac:dyDescent="0.45">
      <c r="A1249" t="s">
        <v>1310</v>
      </c>
      <c r="B1249" t="s">
        <v>350</v>
      </c>
      <c r="C1249" t="s">
        <v>35</v>
      </c>
      <c r="D1249" t="s">
        <v>28</v>
      </c>
      <c r="E1249">
        <v>9</v>
      </c>
      <c r="F1249">
        <v>150</v>
      </c>
      <c r="G1249">
        <v>1350</v>
      </c>
      <c r="H1249">
        <v>0.02</v>
      </c>
      <c r="I1249">
        <v>27</v>
      </c>
      <c r="J1249" t="s">
        <v>18</v>
      </c>
    </row>
    <row r="1250" spans="1:10" x14ac:dyDescent="0.45">
      <c r="A1250" t="s">
        <v>1311</v>
      </c>
      <c r="B1250" t="s">
        <v>350</v>
      </c>
      <c r="C1250" t="s">
        <v>31</v>
      </c>
      <c r="D1250" t="s">
        <v>13</v>
      </c>
      <c r="E1250">
        <v>11</v>
      </c>
      <c r="F1250">
        <v>16</v>
      </c>
      <c r="G1250">
        <v>176</v>
      </c>
      <c r="H1250">
        <v>0.09</v>
      </c>
      <c r="I1250">
        <v>15.84</v>
      </c>
      <c r="J1250" t="s">
        <v>21</v>
      </c>
    </row>
    <row r="1251" spans="1:10" x14ac:dyDescent="0.45">
      <c r="A1251" t="s">
        <v>1312</v>
      </c>
      <c r="B1251" t="s">
        <v>350</v>
      </c>
      <c r="C1251" t="s">
        <v>12</v>
      </c>
      <c r="D1251" t="s">
        <v>17</v>
      </c>
      <c r="E1251">
        <v>17</v>
      </c>
      <c r="F1251">
        <v>80</v>
      </c>
      <c r="G1251">
        <v>1360</v>
      </c>
      <c r="H1251">
        <v>0.03</v>
      </c>
      <c r="I1251">
        <v>40.799999999999997</v>
      </c>
      <c r="J1251" t="s">
        <v>23</v>
      </c>
    </row>
    <row r="1252" spans="1:10" x14ac:dyDescent="0.45">
      <c r="A1252" t="s">
        <v>1313</v>
      </c>
      <c r="B1252" t="s">
        <v>359</v>
      </c>
      <c r="C1252" t="s">
        <v>35</v>
      </c>
      <c r="D1252" t="s">
        <v>13</v>
      </c>
      <c r="E1252">
        <v>3</v>
      </c>
      <c r="F1252">
        <v>150</v>
      </c>
      <c r="G1252">
        <v>450</v>
      </c>
      <c r="H1252">
        <v>0.03</v>
      </c>
      <c r="I1252">
        <v>13.5</v>
      </c>
      <c r="J1252" t="s">
        <v>26</v>
      </c>
    </row>
    <row r="1253" spans="1:10" x14ac:dyDescent="0.45">
      <c r="A1253" t="s">
        <v>1314</v>
      </c>
      <c r="B1253" t="s">
        <v>359</v>
      </c>
      <c r="C1253" t="s">
        <v>20</v>
      </c>
      <c r="D1253" t="s">
        <v>28</v>
      </c>
      <c r="E1253">
        <v>2</v>
      </c>
      <c r="F1253">
        <v>230</v>
      </c>
      <c r="G1253">
        <v>460</v>
      </c>
      <c r="H1253">
        <v>0.08</v>
      </c>
      <c r="I1253">
        <v>36.800000000000004</v>
      </c>
      <c r="J1253" t="s">
        <v>29</v>
      </c>
    </row>
    <row r="1254" spans="1:10" x14ac:dyDescent="0.45">
      <c r="A1254" t="s">
        <v>1315</v>
      </c>
      <c r="B1254" t="s">
        <v>359</v>
      </c>
      <c r="C1254" t="s">
        <v>20</v>
      </c>
      <c r="D1254" t="s">
        <v>28</v>
      </c>
      <c r="E1254">
        <v>17</v>
      </c>
      <c r="F1254">
        <v>230</v>
      </c>
      <c r="G1254">
        <v>3910</v>
      </c>
      <c r="H1254">
        <v>0.12</v>
      </c>
      <c r="I1254">
        <v>469.2</v>
      </c>
      <c r="J1254" t="s">
        <v>18</v>
      </c>
    </row>
    <row r="1255" spans="1:10" x14ac:dyDescent="0.45">
      <c r="A1255" t="s">
        <v>1316</v>
      </c>
      <c r="B1255" t="s">
        <v>359</v>
      </c>
      <c r="C1255" t="s">
        <v>35</v>
      </c>
      <c r="D1255" t="s">
        <v>17</v>
      </c>
      <c r="E1255">
        <v>2</v>
      </c>
      <c r="F1255">
        <v>150</v>
      </c>
      <c r="G1255">
        <v>300</v>
      </c>
      <c r="H1255">
        <v>0.09</v>
      </c>
      <c r="I1255">
        <v>27</v>
      </c>
      <c r="J1255" t="s">
        <v>21</v>
      </c>
    </row>
    <row r="1256" spans="1:10" x14ac:dyDescent="0.45">
      <c r="A1256" t="s">
        <v>1317</v>
      </c>
      <c r="B1256" t="s">
        <v>359</v>
      </c>
      <c r="C1256" t="s">
        <v>16</v>
      </c>
      <c r="D1256" t="s">
        <v>28</v>
      </c>
      <c r="E1256">
        <v>18</v>
      </c>
      <c r="F1256">
        <v>40</v>
      </c>
      <c r="G1256">
        <v>720</v>
      </c>
      <c r="H1256">
        <v>0.06</v>
      </c>
      <c r="I1256">
        <v>43.199999999999996</v>
      </c>
      <c r="J1256" t="s">
        <v>23</v>
      </c>
    </row>
    <row r="1257" spans="1:10" x14ac:dyDescent="0.45">
      <c r="A1257" t="s">
        <v>1318</v>
      </c>
      <c r="B1257" t="s">
        <v>359</v>
      </c>
      <c r="C1257" t="s">
        <v>35</v>
      </c>
      <c r="D1257" t="s">
        <v>25</v>
      </c>
      <c r="E1257">
        <v>18</v>
      </c>
      <c r="F1257">
        <v>150</v>
      </c>
      <c r="G1257">
        <v>2700</v>
      </c>
      <c r="H1257">
        <v>0.06</v>
      </c>
      <c r="I1257">
        <v>162</v>
      </c>
      <c r="J1257" t="s">
        <v>26</v>
      </c>
    </row>
    <row r="1258" spans="1:10" x14ac:dyDescent="0.45">
      <c r="A1258" t="s">
        <v>1319</v>
      </c>
      <c r="B1258" t="s">
        <v>359</v>
      </c>
      <c r="C1258" t="s">
        <v>16</v>
      </c>
      <c r="D1258" t="s">
        <v>17</v>
      </c>
      <c r="E1258">
        <v>12</v>
      </c>
      <c r="F1258">
        <v>40</v>
      </c>
      <c r="G1258">
        <v>480</v>
      </c>
      <c r="H1258">
        <v>0.1</v>
      </c>
      <c r="I1258">
        <v>48</v>
      </c>
      <c r="J1258" t="s">
        <v>29</v>
      </c>
    </row>
    <row r="1259" spans="1:10" x14ac:dyDescent="0.45">
      <c r="A1259" t="s">
        <v>1320</v>
      </c>
      <c r="B1259" t="s">
        <v>359</v>
      </c>
      <c r="C1259" t="s">
        <v>12</v>
      </c>
      <c r="D1259" t="s">
        <v>13</v>
      </c>
      <c r="E1259">
        <v>21</v>
      </c>
      <c r="F1259">
        <v>80</v>
      </c>
      <c r="G1259">
        <v>1680</v>
      </c>
      <c r="H1259">
        <v>0.04</v>
      </c>
      <c r="I1259">
        <v>67.2</v>
      </c>
      <c r="J1259" t="s">
        <v>33</v>
      </c>
    </row>
    <row r="1260" spans="1:10" x14ac:dyDescent="0.45">
      <c r="A1260" t="s">
        <v>1321</v>
      </c>
      <c r="B1260" t="s">
        <v>359</v>
      </c>
      <c r="C1260" t="s">
        <v>16</v>
      </c>
      <c r="D1260" t="s">
        <v>32</v>
      </c>
      <c r="E1260">
        <v>3</v>
      </c>
      <c r="F1260">
        <v>40</v>
      </c>
      <c r="G1260">
        <v>120</v>
      </c>
      <c r="H1260">
        <v>0.03</v>
      </c>
      <c r="I1260">
        <v>3.5999999999999996</v>
      </c>
      <c r="J1260" t="s">
        <v>36</v>
      </c>
    </row>
    <row r="1261" spans="1:10" x14ac:dyDescent="0.45">
      <c r="A1261" t="s">
        <v>1322</v>
      </c>
      <c r="B1261" t="s">
        <v>359</v>
      </c>
      <c r="C1261" t="s">
        <v>12</v>
      </c>
      <c r="D1261" t="s">
        <v>32</v>
      </c>
      <c r="E1261">
        <v>22</v>
      </c>
      <c r="F1261">
        <v>80</v>
      </c>
      <c r="G1261">
        <v>1760</v>
      </c>
      <c r="H1261">
        <v>0.1</v>
      </c>
      <c r="I1261">
        <v>176</v>
      </c>
      <c r="J1261" t="s">
        <v>38</v>
      </c>
    </row>
    <row r="1262" spans="1:10" x14ac:dyDescent="0.45">
      <c r="A1262" t="s">
        <v>1323</v>
      </c>
      <c r="B1262" t="s">
        <v>359</v>
      </c>
      <c r="C1262" t="s">
        <v>16</v>
      </c>
      <c r="D1262" t="s">
        <v>32</v>
      </c>
      <c r="E1262">
        <v>16</v>
      </c>
      <c r="F1262">
        <v>40</v>
      </c>
      <c r="G1262">
        <v>640</v>
      </c>
      <c r="H1262">
        <v>0.11</v>
      </c>
      <c r="I1262">
        <v>70.400000000000006</v>
      </c>
      <c r="J1262" t="s">
        <v>40</v>
      </c>
    </row>
    <row r="1263" spans="1:10" x14ac:dyDescent="0.45">
      <c r="A1263" t="s">
        <v>1324</v>
      </c>
      <c r="B1263" t="s">
        <v>359</v>
      </c>
      <c r="C1263" t="s">
        <v>31</v>
      </c>
      <c r="D1263" t="s">
        <v>13</v>
      </c>
      <c r="E1263">
        <v>11</v>
      </c>
      <c r="F1263">
        <v>16</v>
      </c>
      <c r="G1263">
        <v>176</v>
      </c>
      <c r="H1263">
        <v>0.09</v>
      </c>
      <c r="I1263">
        <v>15.84</v>
      </c>
      <c r="J1263" t="s">
        <v>42</v>
      </c>
    </row>
    <row r="1264" spans="1:10" x14ac:dyDescent="0.45">
      <c r="A1264" t="s">
        <v>1325</v>
      </c>
      <c r="B1264" t="s">
        <v>369</v>
      </c>
      <c r="C1264" t="s">
        <v>12</v>
      </c>
      <c r="D1264" t="s">
        <v>25</v>
      </c>
      <c r="E1264">
        <v>10</v>
      </c>
      <c r="F1264">
        <v>80</v>
      </c>
      <c r="G1264">
        <v>800</v>
      </c>
      <c r="H1264">
        <v>0.08</v>
      </c>
      <c r="I1264">
        <v>64</v>
      </c>
      <c r="J1264" t="s">
        <v>45</v>
      </c>
    </row>
    <row r="1265" spans="1:10" x14ac:dyDescent="0.45">
      <c r="A1265" t="s">
        <v>1326</v>
      </c>
      <c r="B1265" t="s">
        <v>369</v>
      </c>
      <c r="C1265" t="s">
        <v>31</v>
      </c>
      <c r="D1265" t="s">
        <v>25</v>
      </c>
      <c r="E1265">
        <v>12</v>
      </c>
      <c r="F1265">
        <v>16</v>
      </c>
      <c r="G1265">
        <v>192</v>
      </c>
      <c r="H1265">
        <v>0.03</v>
      </c>
      <c r="I1265">
        <v>5.76</v>
      </c>
      <c r="J1265" t="s">
        <v>14</v>
      </c>
    </row>
    <row r="1266" spans="1:10" x14ac:dyDescent="0.45">
      <c r="A1266" t="s">
        <v>1327</v>
      </c>
      <c r="B1266" t="s">
        <v>369</v>
      </c>
      <c r="C1266" t="s">
        <v>35</v>
      </c>
      <c r="D1266" t="s">
        <v>13</v>
      </c>
      <c r="E1266">
        <v>8</v>
      </c>
      <c r="F1266">
        <v>150</v>
      </c>
      <c r="G1266">
        <v>1200</v>
      </c>
      <c r="H1266">
        <v>0.09</v>
      </c>
      <c r="I1266">
        <v>108</v>
      </c>
      <c r="J1266" t="s">
        <v>18</v>
      </c>
    </row>
    <row r="1267" spans="1:10" x14ac:dyDescent="0.45">
      <c r="A1267" t="s">
        <v>1328</v>
      </c>
      <c r="B1267" t="s">
        <v>369</v>
      </c>
      <c r="C1267" t="s">
        <v>16</v>
      </c>
      <c r="D1267" t="s">
        <v>32</v>
      </c>
      <c r="E1267">
        <v>10</v>
      </c>
      <c r="F1267">
        <v>40</v>
      </c>
      <c r="G1267">
        <v>400</v>
      </c>
      <c r="H1267">
        <v>0.03</v>
      </c>
      <c r="I1267">
        <v>12</v>
      </c>
      <c r="J1267" t="s">
        <v>21</v>
      </c>
    </row>
    <row r="1268" spans="1:10" x14ac:dyDescent="0.45">
      <c r="A1268" t="s">
        <v>1329</v>
      </c>
      <c r="B1268" t="s">
        <v>369</v>
      </c>
      <c r="C1268" t="s">
        <v>35</v>
      </c>
      <c r="D1268" t="s">
        <v>13</v>
      </c>
      <c r="E1268">
        <v>7</v>
      </c>
      <c r="F1268">
        <v>150</v>
      </c>
      <c r="G1268">
        <v>1050</v>
      </c>
      <c r="H1268">
        <v>0.02</v>
      </c>
      <c r="I1268">
        <v>21</v>
      </c>
      <c r="J1268" t="s">
        <v>23</v>
      </c>
    </row>
    <row r="1269" spans="1:10" x14ac:dyDescent="0.45">
      <c r="A1269" t="s">
        <v>1330</v>
      </c>
      <c r="B1269" t="s">
        <v>369</v>
      </c>
      <c r="C1269" t="s">
        <v>31</v>
      </c>
      <c r="D1269" t="s">
        <v>25</v>
      </c>
      <c r="E1269">
        <v>6</v>
      </c>
      <c r="F1269">
        <v>16</v>
      </c>
      <c r="G1269">
        <v>96</v>
      </c>
      <c r="H1269">
        <v>0.01</v>
      </c>
      <c r="I1269">
        <v>0.96</v>
      </c>
      <c r="J1269" t="s">
        <v>26</v>
      </c>
    </row>
    <row r="1270" spans="1:10" x14ac:dyDescent="0.45">
      <c r="A1270" t="s">
        <v>1331</v>
      </c>
      <c r="B1270" t="s">
        <v>369</v>
      </c>
      <c r="C1270" t="s">
        <v>12</v>
      </c>
      <c r="D1270" t="s">
        <v>28</v>
      </c>
      <c r="E1270">
        <v>15</v>
      </c>
      <c r="F1270">
        <v>80</v>
      </c>
      <c r="G1270">
        <v>1200</v>
      </c>
      <c r="H1270">
        <v>0.08</v>
      </c>
      <c r="I1270">
        <v>96</v>
      </c>
      <c r="J1270" t="s">
        <v>29</v>
      </c>
    </row>
    <row r="1271" spans="1:10" x14ac:dyDescent="0.45">
      <c r="A1271" t="s">
        <v>1332</v>
      </c>
      <c r="B1271" t="s">
        <v>369</v>
      </c>
      <c r="C1271" t="s">
        <v>31</v>
      </c>
      <c r="D1271" t="s">
        <v>32</v>
      </c>
      <c r="E1271">
        <v>13</v>
      </c>
      <c r="F1271">
        <v>16</v>
      </c>
      <c r="G1271">
        <v>208</v>
      </c>
      <c r="H1271">
        <v>7.0000000000000007E-2</v>
      </c>
      <c r="I1271">
        <v>14.560000000000002</v>
      </c>
      <c r="J1271" t="s">
        <v>18</v>
      </c>
    </row>
    <row r="1272" spans="1:10" x14ac:dyDescent="0.45">
      <c r="A1272" t="s">
        <v>1333</v>
      </c>
      <c r="B1272" t="s">
        <v>369</v>
      </c>
      <c r="C1272" t="s">
        <v>20</v>
      </c>
      <c r="D1272" t="s">
        <v>28</v>
      </c>
      <c r="E1272">
        <v>19</v>
      </c>
      <c r="F1272">
        <v>230</v>
      </c>
      <c r="G1272">
        <v>4370</v>
      </c>
      <c r="H1272">
        <v>0.06</v>
      </c>
      <c r="I1272">
        <v>262.2</v>
      </c>
      <c r="J1272" t="s">
        <v>21</v>
      </c>
    </row>
    <row r="1273" spans="1:10" x14ac:dyDescent="0.45">
      <c r="A1273" t="s">
        <v>1334</v>
      </c>
      <c r="B1273" t="s">
        <v>369</v>
      </c>
      <c r="C1273" t="s">
        <v>12</v>
      </c>
      <c r="D1273" t="s">
        <v>28</v>
      </c>
      <c r="E1273">
        <v>21</v>
      </c>
      <c r="F1273">
        <v>80</v>
      </c>
      <c r="G1273">
        <v>1680</v>
      </c>
      <c r="H1273">
        <v>0.05</v>
      </c>
      <c r="I1273">
        <v>84</v>
      </c>
      <c r="J1273" t="s">
        <v>23</v>
      </c>
    </row>
    <row r="1274" spans="1:10" x14ac:dyDescent="0.45">
      <c r="A1274" t="s">
        <v>1335</v>
      </c>
      <c r="B1274" t="s">
        <v>369</v>
      </c>
      <c r="C1274" t="s">
        <v>12</v>
      </c>
      <c r="D1274" t="s">
        <v>17</v>
      </c>
      <c r="E1274">
        <v>5</v>
      </c>
      <c r="F1274">
        <v>80</v>
      </c>
      <c r="G1274">
        <v>400</v>
      </c>
      <c r="H1274">
        <v>7.0000000000000007E-2</v>
      </c>
      <c r="I1274">
        <v>28.000000000000004</v>
      </c>
      <c r="J1274" t="s">
        <v>26</v>
      </c>
    </row>
    <row r="1275" spans="1:10" x14ac:dyDescent="0.45">
      <c r="A1275" t="s">
        <v>1336</v>
      </c>
      <c r="B1275" t="s">
        <v>369</v>
      </c>
      <c r="C1275" t="s">
        <v>31</v>
      </c>
      <c r="D1275" t="s">
        <v>25</v>
      </c>
      <c r="E1275">
        <v>8</v>
      </c>
      <c r="F1275">
        <v>16</v>
      </c>
      <c r="G1275">
        <v>128</v>
      </c>
      <c r="H1275">
        <v>0.03</v>
      </c>
      <c r="I1275">
        <v>3.84</v>
      </c>
      <c r="J1275" t="s">
        <v>29</v>
      </c>
    </row>
    <row r="1276" spans="1:10" x14ac:dyDescent="0.45">
      <c r="A1276" t="s">
        <v>1337</v>
      </c>
      <c r="B1276" t="s">
        <v>369</v>
      </c>
      <c r="C1276" t="s">
        <v>31</v>
      </c>
      <c r="D1276" t="s">
        <v>25</v>
      </c>
      <c r="E1276">
        <v>12</v>
      </c>
      <c r="F1276">
        <v>16</v>
      </c>
      <c r="G1276">
        <v>192</v>
      </c>
      <c r="H1276">
        <v>0.11</v>
      </c>
      <c r="I1276">
        <v>21.12</v>
      </c>
      <c r="J1276" t="s">
        <v>33</v>
      </c>
    </row>
    <row r="1277" spans="1:10" x14ac:dyDescent="0.45">
      <c r="A1277" t="s">
        <v>1338</v>
      </c>
      <c r="B1277" t="s">
        <v>369</v>
      </c>
      <c r="C1277" t="s">
        <v>12</v>
      </c>
      <c r="D1277" t="s">
        <v>28</v>
      </c>
      <c r="E1277">
        <v>22</v>
      </c>
      <c r="F1277">
        <v>80</v>
      </c>
      <c r="G1277">
        <v>1760</v>
      </c>
      <c r="H1277">
        <v>0.03</v>
      </c>
      <c r="I1277">
        <v>52.8</v>
      </c>
      <c r="J1277" t="s">
        <v>36</v>
      </c>
    </row>
    <row r="1278" spans="1:10" x14ac:dyDescent="0.45">
      <c r="A1278" t="s">
        <v>1339</v>
      </c>
      <c r="B1278" t="s">
        <v>369</v>
      </c>
      <c r="C1278" t="s">
        <v>16</v>
      </c>
      <c r="D1278" t="s">
        <v>13</v>
      </c>
      <c r="E1278">
        <v>5</v>
      </c>
      <c r="F1278">
        <v>40</v>
      </c>
      <c r="G1278">
        <v>200</v>
      </c>
      <c r="H1278">
        <v>0.09</v>
      </c>
      <c r="I1278">
        <v>18</v>
      </c>
      <c r="J1278" t="s">
        <v>38</v>
      </c>
    </row>
    <row r="1279" spans="1:10" x14ac:dyDescent="0.45">
      <c r="A1279" t="s">
        <v>1340</v>
      </c>
      <c r="B1279" t="s">
        <v>377</v>
      </c>
      <c r="C1279" t="s">
        <v>35</v>
      </c>
      <c r="D1279" t="s">
        <v>17</v>
      </c>
      <c r="E1279">
        <v>23</v>
      </c>
      <c r="F1279">
        <v>150</v>
      </c>
      <c r="G1279">
        <v>3450</v>
      </c>
      <c r="H1279">
        <v>0.11</v>
      </c>
      <c r="I1279">
        <v>379.5</v>
      </c>
      <c r="J1279" t="s">
        <v>40</v>
      </c>
    </row>
    <row r="1280" spans="1:10" x14ac:dyDescent="0.45">
      <c r="A1280" t="s">
        <v>1341</v>
      </c>
      <c r="B1280" t="s">
        <v>377</v>
      </c>
      <c r="C1280" t="s">
        <v>12</v>
      </c>
      <c r="D1280" t="s">
        <v>13</v>
      </c>
      <c r="E1280">
        <v>16</v>
      </c>
      <c r="F1280">
        <v>80</v>
      </c>
      <c r="G1280">
        <v>1280</v>
      </c>
      <c r="H1280">
        <v>0.03</v>
      </c>
      <c r="I1280">
        <v>38.4</v>
      </c>
      <c r="J1280" t="s">
        <v>42</v>
      </c>
    </row>
    <row r="1281" spans="1:10" x14ac:dyDescent="0.45">
      <c r="A1281" t="s">
        <v>1342</v>
      </c>
      <c r="B1281" t="s">
        <v>377</v>
      </c>
      <c r="C1281" t="s">
        <v>35</v>
      </c>
      <c r="D1281" t="s">
        <v>32</v>
      </c>
      <c r="E1281">
        <v>15</v>
      </c>
      <c r="F1281">
        <v>150</v>
      </c>
      <c r="G1281">
        <v>2250</v>
      </c>
      <c r="H1281">
        <v>7.0000000000000007E-2</v>
      </c>
      <c r="I1281">
        <v>157.50000000000003</v>
      </c>
      <c r="J1281" t="s">
        <v>45</v>
      </c>
    </row>
    <row r="1282" spans="1:10" x14ac:dyDescent="0.45">
      <c r="A1282" t="s">
        <v>1343</v>
      </c>
      <c r="B1282" t="s">
        <v>377</v>
      </c>
      <c r="C1282" t="s">
        <v>16</v>
      </c>
      <c r="D1282" t="s">
        <v>13</v>
      </c>
      <c r="E1282">
        <v>20</v>
      </c>
      <c r="F1282">
        <v>40</v>
      </c>
      <c r="G1282">
        <v>800</v>
      </c>
      <c r="H1282">
        <v>0.04</v>
      </c>
      <c r="I1282">
        <v>32</v>
      </c>
      <c r="J1282" t="s">
        <v>14</v>
      </c>
    </row>
    <row r="1283" spans="1:10" x14ac:dyDescent="0.45">
      <c r="A1283" t="s">
        <v>1344</v>
      </c>
      <c r="B1283" t="s">
        <v>377</v>
      </c>
      <c r="C1283" t="s">
        <v>20</v>
      </c>
      <c r="D1283" t="s">
        <v>25</v>
      </c>
      <c r="E1283">
        <v>10</v>
      </c>
      <c r="F1283">
        <v>230</v>
      </c>
      <c r="G1283">
        <v>2300</v>
      </c>
      <c r="H1283">
        <v>0.02</v>
      </c>
      <c r="I1283">
        <v>46</v>
      </c>
      <c r="J1283" t="s">
        <v>18</v>
      </c>
    </row>
    <row r="1284" spans="1:10" x14ac:dyDescent="0.45">
      <c r="A1284" t="s">
        <v>1345</v>
      </c>
      <c r="B1284" t="s">
        <v>377</v>
      </c>
      <c r="C1284" t="s">
        <v>12</v>
      </c>
      <c r="D1284" t="s">
        <v>17</v>
      </c>
      <c r="E1284">
        <v>9</v>
      </c>
      <c r="F1284">
        <v>80</v>
      </c>
      <c r="G1284">
        <v>720</v>
      </c>
      <c r="H1284">
        <v>0.03</v>
      </c>
      <c r="I1284">
        <v>21.599999999999998</v>
      </c>
      <c r="J1284" t="s">
        <v>21</v>
      </c>
    </row>
    <row r="1285" spans="1:10" x14ac:dyDescent="0.45">
      <c r="A1285" t="s">
        <v>1346</v>
      </c>
      <c r="B1285" t="s">
        <v>377</v>
      </c>
      <c r="C1285" t="s">
        <v>20</v>
      </c>
      <c r="D1285" t="s">
        <v>13</v>
      </c>
      <c r="E1285">
        <v>16</v>
      </c>
      <c r="F1285">
        <v>230</v>
      </c>
      <c r="G1285">
        <v>3680</v>
      </c>
      <c r="H1285">
        <v>7.0000000000000007E-2</v>
      </c>
      <c r="I1285">
        <v>257.60000000000002</v>
      </c>
      <c r="J1285" t="s">
        <v>23</v>
      </c>
    </row>
    <row r="1286" spans="1:10" x14ac:dyDescent="0.45">
      <c r="A1286" t="s">
        <v>1347</v>
      </c>
      <c r="B1286" t="s">
        <v>377</v>
      </c>
      <c r="C1286" t="s">
        <v>12</v>
      </c>
      <c r="D1286" t="s">
        <v>17</v>
      </c>
      <c r="E1286">
        <v>21</v>
      </c>
      <c r="F1286">
        <v>80</v>
      </c>
      <c r="G1286">
        <v>1680</v>
      </c>
      <c r="H1286">
        <v>0.04</v>
      </c>
      <c r="I1286">
        <v>67.2</v>
      </c>
      <c r="J1286" t="s">
        <v>26</v>
      </c>
    </row>
    <row r="1287" spans="1:10" x14ac:dyDescent="0.45">
      <c r="A1287" t="s">
        <v>1348</v>
      </c>
      <c r="B1287" t="s">
        <v>377</v>
      </c>
      <c r="C1287" t="s">
        <v>12</v>
      </c>
      <c r="D1287" t="s">
        <v>17</v>
      </c>
      <c r="E1287">
        <v>9</v>
      </c>
      <c r="F1287">
        <v>80</v>
      </c>
      <c r="G1287">
        <v>720</v>
      </c>
      <c r="H1287">
        <v>0.03</v>
      </c>
      <c r="I1287">
        <v>21.599999999999998</v>
      </c>
      <c r="J1287" t="s">
        <v>29</v>
      </c>
    </row>
    <row r="1288" spans="1:10" x14ac:dyDescent="0.45">
      <c r="A1288" t="s">
        <v>1349</v>
      </c>
      <c r="B1288" t="s">
        <v>377</v>
      </c>
      <c r="C1288" t="s">
        <v>16</v>
      </c>
      <c r="D1288" t="s">
        <v>17</v>
      </c>
      <c r="E1288">
        <v>4</v>
      </c>
      <c r="F1288">
        <v>40</v>
      </c>
      <c r="G1288">
        <v>160</v>
      </c>
      <c r="H1288">
        <v>0.12</v>
      </c>
      <c r="I1288">
        <v>19.2</v>
      </c>
      <c r="J1288" t="s">
        <v>18</v>
      </c>
    </row>
    <row r="1289" spans="1:10" x14ac:dyDescent="0.45">
      <c r="A1289" t="s">
        <v>1350</v>
      </c>
      <c r="B1289" t="s">
        <v>377</v>
      </c>
      <c r="C1289" t="s">
        <v>20</v>
      </c>
      <c r="D1289" t="s">
        <v>25</v>
      </c>
      <c r="E1289">
        <v>5</v>
      </c>
      <c r="F1289">
        <v>230</v>
      </c>
      <c r="G1289">
        <v>1150</v>
      </c>
      <c r="H1289">
        <v>0.01</v>
      </c>
      <c r="I1289">
        <v>11.5</v>
      </c>
      <c r="J1289" t="s">
        <v>21</v>
      </c>
    </row>
    <row r="1290" spans="1:10" x14ac:dyDescent="0.45">
      <c r="A1290" t="s">
        <v>1351</v>
      </c>
      <c r="B1290" t="s">
        <v>377</v>
      </c>
      <c r="C1290" t="s">
        <v>31</v>
      </c>
      <c r="D1290" t="s">
        <v>13</v>
      </c>
      <c r="E1290">
        <v>18</v>
      </c>
      <c r="F1290">
        <v>16</v>
      </c>
      <c r="G1290">
        <v>288</v>
      </c>
      <c r="H1290">
        <v>0.05</v>
      </c>
      <c r="I1290">
        <v>14.4</v>
      </c>
      <c r="J1290" t="s">
        <v>23</v>
      </c>
    </row>
    <row r="1291" spans="1:10" x14ac:dyDescent="0.45">
      <c r="A1291" t="s">
        <v>1352</v>
      </c>
      <c r="B1291" t="s">
        <v>723</v>
      </c>
      <c r="C1291" t="s">
        <v>12</v>
      </c>
      <c r="D1291" t="s">
        <v>25</v>
      </c>
      <c r="E1291">
        <v>6</v>
      </c>
      <c r="F1291">
        <v>80</v>
      </c>
      <c r="G1291">
        <v>480</v>
      </c>
      <c r="H1291">
        <v>0.01</v>
      </c>
      <c r="I1291">
        <v>4.8</v>
      </c>
      <c r="J1291" t="s">
        <v>26</v>
      </c>
    </row>
    <row r="1292" spans="1:10" x14ac:dyDescent="0.45">
      <c r="A1292" t="s">
        <v>1353</v>
      </c>
      <c r="B1292" t="s">
        <v>723</v>
      </c>
      <c r="C1292" t="s">
        <v>35</v>
      </c>
      <c r="D1292" t="s">
        <v>32</v>
      </c>
      <c r="E1292">
        <v>4</v>
      </c>
      <c r="F1292">
        <v>150</v>
      </c>
      <c r="G1292">
        <v>600</v>
      </c>
      <c r="H1292">
        <v>0.05</v>
      </c>
      <c r="I1292">
        <v>30</v>
      </c>
      <c r="J1292" t="s">
        <v>29</v>
      </c>
    </row>
    <row r="1293" spans="1:10" x14ac:dyDescent="0.45">
      <c r="A1293" t="s">
        <v>1354</v>
      </c>
      <c r="B1293" t="s">
        <v>723</v>
      </c>
      <c r="C1293" t="s">
        <v>20</v>
      </c>
      <c r="D1293" t="s">
        <v>32</v>
      </c>
      <c r="E1293">
        <v>21</v>
      </c>
      <c r="F1293">
        <v>230</v>
      </c>
      <c r="G1293">
        <v>4830</v>
      </c>
      <c r="H1293">
        <v>0.05</v>
      </c>
      <c r="I1293">
        <v>241.5</v>
      </c>
      <c r="J1293" t="s">
        <v>33</v>
      </c>
    </row>
    <row r="1294" spans="1:10" x14ac:dyDescent="0.45">
      <c r="A1294" t="s">
        <v>1355</v>
      </c>
      <c r="B1294" t="s">
        <v>723</v>
      </c>
      <c r="C1294" t="s">
        <v>35</v>
      </c>
      <c r="D1294" t="s">
        <v>13</v>
      </c>
      <c r="E1294">
        <v>4</v>
      </c>
      <c r="F1294">
        <v>150</v>
      </c>
      <c r="G1294">
        <v>600</v>
      </c>
      <c r="H1294">
        <v>0.06</v>
      </c>
      <c r="I1294">
        <v>36</v>
      </c>
      <c r="J1294" t="s">
        <v>36</v>
      </c>
    </row>
    <row r="1295" spans="1:10" x14ac:dyDescent="0.45">
      <c r="A1295" t="s">
        <v>1356</v>
      </c>
      <c r="B1295" t="s">
        <v>723</v>
      </c>
      <c r="C1295" t="s">
        <v>12</v>
      </c>
      <c r="D1295" t="s">
        <v>17</v>
      </c>
      <c r="E1295">
        <v>2</v>
      </c>
      <c r="F1295">
        <v>80</v>
      </c>
      <c r="G1295">
        <v>160</v>
      </c>
      <c r="H1295">
        <v>0.04</v>
      </c>
      <c r="I1295">
        <v>6.4</v>
      </c>
      <c r="J1295" t="s">
        <v>38</v>
      </c>
    </row>
    <row r="1296" spans="1:10" x14ac:dyDescent="0.45">
      <c r="A1296" t="s">
        <v>1357</v>
      </c>
      <c r="B1296" t="s">
        <v>723</v>
      </c>
      <c r="C1296" t="s">
        <v>31</v>
      </c>
      <c r="D1296" t="s">
        <v>17</v>
      </c>
      <c r="E1296">
        <v>5</v>
      </c>
      <c r="F1296">
        <v>16</v>
      </c>
      <c r="G1296">
        <v>80</v>
      </c>
      <c r="H1296">
        <v>0.11</v>
      </c>
      <c r="I1296">
        <v>8.8000000000000007</v>
      </c>
      <c r="J1296" t="s">
        <v>40</v>
      </c>
    </row>
    <row r="1297" spans="1:10" x14ac:dyDescent="0.45">
      <c r="A1297" t="s">
        <v>1358</v>
      </c>
      <c r="B1297" t="s">
        <v>723</v>
      </c>
      <c r="C1297" t="s">
        <v>35</v>
      </c>
      <c r="D1297" t="s">
        <v>32</v>
      </c>
      <c r="E1297">
        <v>23</v>
      </c>
      <c r="F1297">
        <v>150</v>
      </c>
      <c r="G1297">
        <v>3450</v>
      </c>
      <c r="H1297">
        <v>0.08</v>
      </c>
      <c r="I1297">
        <v>276</v>
      </c>
      <c r="J1297" t="s">
        <v>42</v>
      </c>
    </row>
    <row r="1298" spans="1:10" x14ac:dyDescent="0.45">
      <c r="A1298" t="s">
        <v>1359</v>
      </c>
      <c r="B1298" t="s">
        <v>723</v>
      </c>
      <c r="C1298" t="s">
        <v>12</v>
      </c>
      <c r="D1298" t="s">
        <v>17</v>
      </c>
      <c r="E1298">
        <v>3</v>
      </c>
      <c r="F1298">
        <v>80</v>
      </c>
      <c r="G1298">
        <v>240</v>
      </c>
      <c r="H1298">
        <v>0.02</v>
      </c>
      <c r="I1298">
        <v>4.8</v>
      </c>
      <c r="J1298" t="s">
        <v>45</v>
      </c>
    </row>
    <row r="1299" spans="1:10" x14ac:dyDescent="0.45">
      <c r="A1299" t="s">
        <v>1360</v>
      </c>
      <c r="B1299" t="s">
        <v>723</v>
      </c>
      <c r="C1299" t="s">
        <v>20</v>
      </c>
      <c r="D1299" t="s">
        <v>32</v>
      </c>
      <c r="E1299">
        <v>17</v>
      </c>
      <c r="F1299">
        <v>230</v>
      </c>
      <c r="G1299">
        <v>3910</v>
      </c>
      <c r="H1299">
        <v>0.11</v>
      </c>
      <c r="I1299">
        <v>430.1</v>
      </c>
      <c r="J1299" t="s">
        <v>14</v>
      </c>
    </row>
    <row r="1300" spans="1:10" x14ac:dyDescent="0.45">
      <c r="A1300" t="s">
        <v>1361</v>
      </c>
      <c r="B1300" t="s">
        <v>723</v>
      </c>
      <c r="C1300" t="s">
        <v>16</v>
      </c>
      <c r="D1300" t="s">
        <v>25</v>
      </c>
      <c r="E1300">
        <v>11</v>
      </c>
      <c r="F1300">
        <v>40</v>
      </c>
      <c r="G1300">
        <v>440</v>
      </c>
      <c r="H1300">
        <v>0.05</v>
      </c>
      <c r="I1300">
        <v>22</v>
      </c>
      <c r="J1300" t="s">
        <v>18</v>
      </c>
    </row>
    <row r="1301" spans="1:10" x14ac:dyDescent="0.45">
      <c r="A1301" t="s">
        <v>1362</v>
      </c>
      <c r="B1301" t="s">
        <v>723</v>
      </c>
      <c r="C1301" t="s">
        <v>16</v>
      </c>
      <c r="D1301" t="s">
        <v>25</v>
      </c>
      <c r="E1301">
        <v>13</v>
      </c>
      <c r="F1301">
        <v>40</v>
      </c>
      <c r="G1301">
        <v>520</v>
      </c>
      <c r="H1301">
        <v>0.02</v>
      </c>
      <c r="I1301">
        <v>10.4</v>
      </c>
      <c r="J1301"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FD6A3-D895-462A-A69D-E70701E8170E}">
  <dimension ref="B3:C23"/>
  <sheetViews>
    <sheetView workbookViewId="0">
      <selection activeCell="C23" sqref="C23"/>
    </sheetView>
  </sheetViews>
  <sheetFormatPr defaultRowHeight="14.25" x14ac:dyDescent="0.45"/>
  <cols>
    <col min="2" max="2" width="17.59765625" customWidth="1"/>
    <col min="3" max="4" width="21.59765625" bestFit="1" customWidth="1"/>
  </cols>
  <sheetData>
    <row r="3" spans="2:3" x14ac:dyDescent="0.45">
      <c r="B3" t="s">
        <v>1363</v>
      </c>
    </row>
    <row r="5" spans="2:3" x14ac:dyDescent="0.45">
      <c r="C5" t="s">
        <v>1369</v>
      </c>
    </row>
    <row r="6" spans="2:3" x14ac:dyDescent="0.45">
      <c r="C6">
        <v>1300</v>
      </c>
    </row>
    <row r="9" spans="2:3" x14ac:dyDescent="0.45">
      <c r="B9" t="s">
        <v>1364</v>
      </c>
    </row>
    <row r="11" spans="2:3" x14ac:dyDescent="0.45">
      <c r="C11" t="s">
        <v>1370</v>
      </c>
    </row>
    <row r="12" spans="2:3" x14ac:dyDescent="0.45">
      <c r="C12">
        <v>1585146</v>
      </c>
    </row>
    <row r="15" spans="2:3" x14ac:dyDescent="0.45">
      <c r="B15" t="s">
        <v>1365</v>
      </c>
    </row>
    <row r="17" spans="2:3" x14ac:dyDescent="0.45">
      <c r="C17" t="s">
        <v>1371</v>
      </c>
    </row>
    <row r="18" spans="2:3" x14ac:dyDescent="0.45">
      <c r="C18">
        <v>100160.23999999989</v>
      </c>
    </row>
    <row r="21" spans="2:3" x14ac:dyDescent="0.45">
      <c r="B21" t="s">
        <v>1366</v>
      </c>
    </row>
    <row r="23" spans="2:3" x14ac:dyDescent="0.45">
      <c r="C23">
        <f>GETPIVOTDATA("Total sales",$C$11)-GETPIVOTDATA("Total Commission",$C$17)</f>
        <v>1484985.76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44CB-91D3-47FE-8E41-87415425FAD1}">
  <dimension ref="B3:F96"/>
  <sheetViews>
    <sheetView topLeftCell="A10" zoomScaleNormal="100" workbookViewId="0">
      <selection activeCell="G25" sqref="G25"/>
    </sheetView>
  </sheetViews>
  <sheetFormatPr defaultRowHeight="14.25" x14ac:dyDescent="0.45"/>
  <cols>
    <col min="3" max="3" width="12.06640625" bestFit="1" customWidth="1"/>
    <col min="4" max="4" width="15.06640625" bestFit="1" customWidth="1"/>
    <col min="5" max="5" width="21.59765625" bestFit="1" customWidth="1"/>
  </cols>
  <sheetData>
    <row r="3" spans="2:4" x14ac:dyDescent="0.45">
      <c r="B3" t="s">
        <v>1372</v>
      </c>
    </row>
    <row r="5" spans="2:4" x14ac:dyDescent="0.45">
      <c r="C5" s="1" t="s">
        <v>1367</v>
      </c>
      <c r="D5" t="s">
        <v>1369</v>
      </c>
    </row>
    <row r="6" spans="2:4" x14ac:dyDescent="0.45">
      <c r="C6" s="2" t="s">
        <v>11</v>
      </c>
      <c r="D6">
        <v>39</v>
      </c>
    </row>
    <row r="7" spans="2:4" x14ac:dyDescent="0.45">
      <c r="C7" s="2" t="s">
        <v>44</v>
      </c>
      <c r="D7">
        <v>33</v>
      </c>
    </row>
    <row r="8" spans="2:4" x14ac:dyDescent="0.45">
      <c r="C8" s="2" t="s">
        <v>53</v>
      </c>
      <c r="D8">
        <v>36</v>
      </c>
    </row>
    <row r="9" spans="2:4" x14ac:dyDescent="0.45">
      <c r="C9" s="2" t="s">
        <v>67</v>
      </c>
      <c r="D9">
        <v>35</v>
      </c>
    </row>
    <row r="10" spans="2:4" x14ac:dyDescent="0.45">
      <c r="C10" s="2" t="s">
        <v>77</v>
      </c>
      <c r="D10">
        <v>42</v>
      </c>
    </row>
    <row r="11" spans="2:4" x14ac:dyDescent="0.45">
      <c r="C11" s="2" t="s">
        <v>86</v>
      </c>
      <c r="D11">
        <v>47</v>
      </c>
    </row>
    <row r="12" spans="2:4" x14ac:dyDescent="0.45">
      <c r="C12" s="2" t="s">
        <v>102</v>
      </c>
      <c r="D12">
        <v>53</v>
      </c>
    </row>
    <row r="13" spans="2:4" x14ac:dyDescent="0.45">
      <c r="C13" s="2" t="s">
        <v>116</v>
      </c>
      <c r="D13">
        <v>50</v>
      </c>
    </row>
    <row r="14" spans="2:4" x14ac:dyDescent="0.45">
      <c r="C14" s="2" t="s">
        <v>128</v>
      </c>
      <c r="D14">
        <v>38</v>
      </c>
    </row>
    <row r="15" spans="2:4" x14ac:dyDescent="0.45">
      <c r="C15" s="2" t="s">
        <v>135</v>
      </c>
      <c r="D15">
        <v>50</v>
      </c>
    </row>
    <row r="16" spans="2:4" x14ac:dyDescent="0.45">
      <c r="C16" s="2" t="s">
        <v>155</v>
      </c>
      <c r="D16">
        <v>43</v>
      </c>
    </row>
    <row r="17" spans="3:4" x14ac:dyDescent="0.45">
      <c r="C17" s="2" t="s">
        <v>163</v>
      </c>
      <c r="D17">
        <v>30</v>
      </c>
    </row>
    <row r="18" spans="3:4" x14ac:dyDescent="0.45">
      <c r="C18" s="2" t="s">
        <v>171</v>
      </c>
      <c r="D18">
        <v>48</v>
      </c>
    </row>
    <row r="19" spans="3:4" x14ac:dyDescent="0.45">
      <c r="C19" s="2" t="s">
        <v>182</v>
      </c>
      <c r="D19">
        <v>46</v>
      </c>
    </row>
    <row r="20" spans="3:4" x14ac:dyDescent="0.45">
      <c r="C20" s="2" t="s">
        <v>194</v>
      </c>
      <c r="D20">
        <v>45</v>
      </c>
    </row>
    <row r="21" spans="3:4" x14ac:dyDescent="0.45">
      <c r="C21" s="2" t="s">
        <v>210</v>
      </c>
      <c r="D21">
        <v>48</v>
      </c>
    </row>
    <row r="22" spans="3:4" x14ac:dyDescent="0.45">
      <c r="C22" s="2" t="s">
        <v>222</v>
      </c>
      <c r="D22">
        <v>48</v>
      </c>
    </row>
    <row r="23" spans="3:4" x14ac:dyDescent="0.45">
      <c r="C23" s="2" t="s">
        <v>236</v>
      </c>
      <c r="D23">
        <v>41</v>
      </c>
    </row>
    <row r="24" spans="3:4" x14ac:dyDescent="0.45">
      <c r="C24" s="2" t="s">
        <v>247</v>
      </c>
      <c r="D24">
        <v>44</v>
      </c>
    </row>
    <row r="25" spans="3:4" x14ac:dyDescent="0.45">
      <c r="C25" s="2" t="s">
        <v>255</v>
      </c>
      <c r="D25">
        <v>34</v>
      </c>
    </row>
    <row r="26" spans="3:4" x14ac:dyDescent="0.45">
      <c r="C26" s="2" t="s">
        <v>263</v>
      </c>
      <c r="D26">
        <v>47</v>
      </c>
    </row>
    <row r="27" spans="3:4" x14ac:dyDescent="0.45">
      <c r="C27" s="2" t="s">
        <v>277</v>
      </c>
      <c r="D27">
        <v>38</v>
      </c>
    </row>
    <row r="28" spans="3:4" x14ac:dyDescent="0.45">
      <c r="C28" s="2" t="s">
        <v>292</v>
      </c>
      <c r="D28">
        <v>39</v>
      </c>
    </row>
    <row r="29" spans="3:4" x14ac:dyDescent="0.45">
      <c r="C29" s="2" t="s">
        <v>304</v>
      </c>
      <c r="D29">
        <v>46</v>
      </c>
    </row>
    <row r="30" spans="3:4" x14ac:dyDescent="0.45">
      <c r="C30" s="2" t="s">
        <v>319</v>
      </c>
      <c r="D30">
        <v>49</v>
      </c>
    </row>
    <row r="31" spans="3:4" x14ac:dyDescent="0.45">
      <c r="C31" s="2" t="s">
        <v>338</v>
      </c>
      <c r="D31">
        <v>47</v>
      </c>
    </row>
    <row r="32" spans="3:4" x14ac:dyDescent="0.45">
      <c r="C32" s="2" t="s">
        <v>350</v>
      </c>
      <c r="D32">
        <v>52</v>
      </c>
    </row>
    <row r="33" spans="2:4" x14ac:dyDescent="0.45">
      <c r="C33" s="2" t="s">
        <v>359</v>
      </c>
      <c r="D33">
        <v>37</v>
      </c>
    </row>
    <row r="34" spans="2:4" x14ac:dyDescent="0.45">
      <c r="C34" s="2" t="s">
        <v>369</v>
      </c>
      <c r="D34">
        <v>42</v>
      </c>
    </row>
    <row r="35" spans="2:4" x14ac:dyDescent="0.45">
      <c r="C35" s="2" t="s">
        <v>377</v>
      </c>
      <c r="D35">
        <v>28</v>
      </c>
    </row>
    <row r="36" spans="2:4" x14ac:dyDescent="0.45">
      <c r="C36" s="2" t="s">
        <v>723</v>
      </c>
      <c r="D36">
        <v>25</v>
      </c>
    </row>
    <row r="37" spans="2:4" x14ac:dyDescent="0.45">
      <c r="C37" s="2" t="s">
        <v>1368</v>
      </c>
      <c r="D37">
        <v>1300</v>
      </c>
    </row>
    <row r="40" spans="2:4" x14ac:dyDescent="0.45">
      <c r="B40" t="s">
        <v>1373</v>
      </c>
    </row>
    <row r="42" spans="2:4" x14ac:dyDescent="0.45">
      <c r="C42" s="1" t="s">
        <v>1367</v>
      </c>
      <c r="D42" t="s">
        <v>1374</v>
      </c>
    </row>
    <row r="43" spans="2:4" x14ac:dyDescent="0.45">
      <c r="C43" s="2" t="s">
        <v>31</v>
      </c>
      <c r="D43">
        <v>3071</v>
      </c>
    </row>
    <row r="44" spans="2:4" x14ac:dyDescent="0.45">
      <c r="C44" s="2" t="s">
        <v>20</v>
      </c>
      <c r="D44">
        <v>2648</v>
      </c>
    </row>
    <row r="45" spans="2:4" x14ac:dyDescent="0.45">
      <c r="C45" s="2" t="s">
        <v>12</v>
      </c>
      <c r="D45">
        <v>3823</v>
      </c>
    </row>
    <row r="46" spans="2:4" x14ac:dyDescent="0.45">
      <c r="C46" s="2" t="s">
        <v>35</v>
      </c>
      <c r="D46">
        <v>3067</v>
      </c>
    </row>
    <row r="47" spans="2:4" x14ac:dyDescent="0.45">
      <c r="C47" s="2" t="s">
        <v>16</v>
      </c>
      <c r="D47">
        <v>4027</v>
      </c>
    </row>
    <row r="48" spans="2:4" x14ac:dyDescent="0.45">
      <c r="C48" s="2" t="s">
        <v>1368</v>
      </c>
      <c r="D48">
        <v>16636</v>
      </c>
    </row>
    <row r="54" spans="2:5" x14ac:dyDescent="0.45">
      <c r="B54" t="s">
        <v>1375</v>
      </c>
    </row>
    <row r="56" spans="2:5" x14ac:dyDescent="0.45">
      <c r="C56" s="1" t="s">
        <v>1367</v>
      </c>
      <c r="D56" t="s">
        <v>1370</v>
      </c>
      <c r="E56" t="s">
        <v>1371</v>
      </c>
    </row>
    <row r="57" spans="2:5" x14ac:dyDescent="0.45">
      <c r="C57" s="2" t="s">
        <v>32</v>
      </c>
      <c r="D57">
        <v>306530</v>
      </c>
      <c r="E57">
        <v>23576.700000000012</v>
      </c>
    </row>
    <row r="58" spans="2:5" x14ac:dyDescent="0.45">
      <c r="C58" s="2" t="s">
        <v>13</v>
      </c>
      <c r="D58">
        <v>320220</v>
      </c>
      <c r="E58">
        <v>17874.340000000018</v>
      </c>
    </row>
    <row r="59" spans="2:5" x14ac:dyDescent="0.45">
      <c r="C59" s="2" t="s">
        <v>25</v>
      </c>
      <c r="D59">
        <v>307656</v>
      </c>
      <c r="E59">
        <v>17621.360000000004</v>
      </c>
    </row>
    <row r="60" spans="2:5" x14ac:dyDescent="0.45">
      <c r="C60" s="2" t="s">
        <v>17</v>
      </c>
      <c r="D60">
        <v>321258</v>
      </c>
      <c r="E60">
        <v>21012.360000000004</v>
      </c>
    </row>
    <row r="61" spans="2:5" x14ac:dyDescent="0.45">
      <c r="C61" s="2" t="s">
        <v>28</v>
      </c>
      <c r="D61">
        <v>329482</v>
      </c>
      <c r="E61">
        <v>20075.480000000003</v>
      </c>
    </row>
    <row r="62" spans="2:5" x14ac:dyDescent="0.45">
      <c r="C62" s="2" t="s">
        <v>1368</v>
      </c>
      <c r="D62">
        <v>1585146</v>
      </c>
      <c r="E62">
        <v>100160.24000000005</v>
      </c>
    </row>
    <row r="70" spans="2:4" x14ac:dyDescent="0.45">
      <c r="B70" t="s">
        <v>1376</v>
      </c>
    </row>
    <row r="72" spans="2:4" x14ac:dyDescent="0.45">
      <c r="C72" s="1" t="s">
        <v>1367</v>
      </c>
      <c r="D72" t="s">
        <v>1371</v>
      </c>
    </row>
    <row r="73" spans="2:4" x14ac:dyDescent="0.45">
      <c r="C73" s="2" t="s">
        <v>32</v>
      </c>
      <c r="D73">
        <v>23576.700000000012</v>
      </c>
    </row>
    <row r="74" spans="2:4" x14ac:dyDescent="0.45">
      <c r="C74" s="2" t="s">
        <v>13</v>
      </c>
      <c r="D74">
        <v>17874.340000000018</v>
      </c>
    </row>
    <row r="75" spans="2:4" x14ac:dyDescent="0.45">
      <c r="C75" s="2" t="s">
        <v>25</v>
      </c>
      <c r="D75">
        <v>17621.360000000004</v>
      </c>
    </row>
    <row r="76" spans="2:4" x14ac:dyDescent="0.45">
      <c r="C76" s="2" t="s">
        <v>17</v>
      </c>
      <c r="D76">
        <v>21012.360000000004</v>
      </c>
    </row>
    <row r="77" spans="2:4" x14ac:dyDescent="0.45">
      <c r="C77" s="2" t="s">
        <v>28</v>
      </c>
      <c r="D77">
        <v>20075.480000000003</v>
      </c>
    </row>
    <row r="78" spans="2:4" x14ac:dyDescent="0.45">
      <c r="C78" s="2" t="s">
        <v>1368</v>
      </c>
      <c r="D78">
        <v>100160.24000000005</v>
      </c>
    </row>
    <row r="81" spans="2:6" x14ac:dyDescent="0.45">
      <c r="B81" t="s">
        <v>1377</v>
      </c>
    </row>
    <row r="83" spans="2:6" x14ac:dyDescent="0.45">
      <c r="C83" s="1" t="s">
        <v>1367</v>
      </c>
      <c r="D83" t="s">
        <v>1369</v>
      </c>
    </row>
    <row r="84" spans="2:6" x14ac:dyDescent="0.45">
      <c r="C84" s="2" t="s">
        <v>29</v>
      </c>
      <c r="D84">
        <v>104</v>
      </c>
      <c r="E84" s="2" t="s">
        <v>29</v>
      </c>
      <c r="F84">
        <v>104</v>
      </c>
    </row>
    <row r="85" spans="2:6" x14ac:dyDescent="0.45">
      <c r="C85" s="2" t="s">
        <v>23</v>
      </c>
      <c r="D85">
        <v>105</v>
      </c>
      <c r="E85" s="2" t="s">
        <v>23</v>
      </c>
      <c r="F85">
        <v>105</v>
      </c>
    </row>
    <row r="86" spans="2:6" x14ac:dyDescent="0.45">
      <c r="C86" s="2" t="s">
        <v>33</v>
      </c>
      <c r="D86">
        <v>120</v>
      </c>
      <c r="E86" s="2" t="s">
        <v>33</v>
      </c>
      <c r="F86">
        <v>120</v>
      </c>
    </row>
    <row r="87" spans="2:6" x14ac:dyDescent="0.45">
      <c r="C87" s="2" t="s">
        <v>38</v>
      </c>
      <c r="D87">
        <v>163</v>
      </c>
      <c r="E87" s="2" t="s">
        <v>38</v>
      </c>
      <c r="F87">
        <v>163</v>
      </c>
    </row>
    <row r="88" spans="2:6" x14ac:dyDescent="0.45">
      <c r="C88" s="2" t="s">
        <v>42</v>
      </c>
      <c r="D88">
        <v>68</v>
      </c>
      <c r="E88" s="2" t="s">
        <v>42</v>
      </c>
      <c r="F88">
        <v>68</v>
      </c>
    </row>
    <row r="89" spans="2:6" x14ac:dyDescent="0.45">
      <c r="C89" s="2" t="s">
        <v>40</v>
      </c>
      <c r="D89">
        <v>119</v>
      </c>
      <c r="E89" s="2" t="s">
        <v>40</v>
      </c>
      <c r="F89">
        <v>119</v>
      </c>
    </row>
    <row r="90" spans="2:6" x14ac:dyDescent="0.45">
      <c r="C90" s="2" t="s">
        <v>36</v>
      </c>
      <c r="D90">
        <v>119</v>
      </c>
      <c r="E90" s="2" t="s">
        <v>36</v>
      </c>
      <c r="F90">
        <v>119</v>
      </c>
    </row>
    <row r="91" spans="2:6" x14ac:dyDescent="0.45">
      <c r="C91" s="2" t="s">
        <v>45</v>
      </c>
      <c r="D91">
        <v>68</v>
      </c>
      <c r="E91" s="2" t="s">
        <v>45</v>
      </c>
      <c r="F91">
        <v>68</v>
      </c>
    </row>
    <row r="92" spans="2:6" x14ac:dyDescent="0.45">
      <c r="C92" s="2" t="s">
        <v>21</v>
      </c>
      <c r="D92">
        <v>150</v>
      </c>
      <c r="E92" s="2" t="s">
        <v>21</v>
      </c>
      <c r="F92">
        <v>150</v>
      </c>
    </row>
    <row r="93" spans="2:6" x14ac:dyDescent="0.45">
      <c r="C93" s="2" t="s">
        <v>14</v>
      </c>
      <c r="D93">
        <v>76</v>
      </c>
      <c r="E93" s="2" t="s">
        <v>14</v>
      </c>
      <c r="F93">
        <v>76</v>
      </c>
    </row>
    <row r="94" spans="2:6" x14ac:dyDescent="0.45">
      <c r="C94" s="2" t="s">
        <v>18</v>
      </c>
      <c r="D94">
        <v>105</v>
      </c>
      <c r="E94" s="2" t="s">
        <v>18</v>
      </c>
      <c r="F94">
        <v>105</v>
      </c>
    </row>
    <row r="95" spans="2:6" x14ac:dyDescent="0.45">
      <c r="C95" s="2" t="s">
        <v>26</v>
      </c>
      <c r="D95">
        <v>103</v>
      </c>
      <c r="E95" s="2" t="s">
        <v>26</v>
      </c>
      <c r="F95">
        <v>103</v>
      </c>
    </row>
    <row r="96" spans="2:6" x14ac:dyDescent="0.45">
      <c r="C96" s="2" t="s">
        <v>1368</v>
      </c>
      <c r="D96">
        <v>1300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FB202-58B4-4BCA-A9CD-6C3DF39F2340}">
  <dimension ref="A1"/>
  <sheetViews>
    <sheetView showGridLines="0" tabSelected="1" zoomScale="85" zoomScaleNormal="85" workbookViewId="0">
      <selection activeCell="O45" sqref="O45"/>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330B5D-5038-4B4D-BE5B-37149CF353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salesorderanalysis</vt:lpstr>
      <vt:lpstr>kpi</vt:lpstr>
      <vt:lpstr>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Biswal</dc:creator>
  <cp:lastModifiedBy>Anjali Biswal</cp:lastModifiedBy>
  <dcterms:created xsi:type="dcterms:W3CDTF">2026-01-04T16:48:46Z</dcterms:created>
  <dcterms:modified xsi:type="dcterms:W3CDTF">2026-04-07T08:17:05Z</dcterms:modified>
</cp:coreProperties>
</file>